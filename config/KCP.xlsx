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Qt\ApplicantStatsProject\programInfo\"/>
    </mc:Choice>
  </mc:AlternateContent>
  <xr:revisionPtr revIDLastSave="0" documentId="13_ncr:1_{440CE20C-3430-4488-B8C6-DE31EBE5DA6B}" xr6:coauthVersionLast="47" xr6:coauthVersionMax="47" xr10:uidLastSave="{00000000-0000-0000-0000-000000000000}"/>
  <bookViews>
    <workbookView xWindow="-120" yWindow="-120" windowWidth="29040" windowHeight="15840" xr2:uid="{5590EB21-9F4B-4755-A428-4D332FCC201A}"/>
  </bookViews>
  <sheets>
    <sheet name="Бакалавры" sheetId="1" r:id="rId1"/>
    <sheet name="Магистры" sheetId="2" r:id="rId2"/>
  </sheets>
  <definedNames>
    <definedName name="_xlnm._FilterDatabase" localSheetId="0" hidden="1">Бакалавры!$A$1:$R$169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65" i="1"/>
  <c r="G160" i="1"/>
  <c r="G155" i="1"/>
  <c r="G150" i="1"/>
  <c r="G145" i="1"/>
  <c r="G140" i="1"/>
  <c r="G135" i="1"/>
  <c r="G130" i="1"/>
  <c r="G125" i="1"/>
  <c r="G120" i="1"/>
  <c r="G115" i="1"/>
  <c r="G110" i="1"/>
  <c r="G105" i="1"/>
  <c r="G100" i="1"/>
  <c r="G95" i="1"/>
  <c r="G90" i="1"/>
  <c r="G85" i="1"/>
  <c r="G78" i="1"/>
  <c r="G72" i="1"/>
  <c r="G67" i="1"/>
  <c r="G62" i="1"/>
  <c r="G57" i="1"/>
  <c r="G52" i="1"/>
  <c r="G47" i="1"/>
  <c r="G42" i="1"/>
  <c r="G37" i="1"/>
  <c r="G32" i="1"/>
  <c r="G27" i="1"/>
  <c r="G22" i="1"/>
  <c r="G17" i="1"/>
  <c r="G12" i="1"/>
  <c r="G7" i="1"/>
</calcChain>
</file>

<file path=xl/sharedStrings.xml><?xml version="1.0" encoding="utf-8"?>
<sst xmlns="http://schemas.openxmlformats.org/spreadsheetml/2006/main" count="727" uniqueCount="104">
  <si>
    <t>Медицинская и фармацевтическая химия</t>
  </si>
  <si>
    <t>Очное</t>
  </si>
  <si>
    <t>Бюджет</t>
  </si>
  <si>
    <t>Особое право</t>
  </si>
  <si>
    <t>Отдельная квота</t>
  </si>
  <si>
    <t>Целевое</t>
  </si>
  <si>
    <t>Экологический менеджмент и аудит</t>
  </si>
  <si>
    <t>Экспериментальная биология</t>
  </si>
  <si>
    <t>Биоинженерия и биотехнология</t>
  </si>
  <si>
    <t>Программирование и технологии искусственного интеллекта</t>
  </si>
  <si>
    <t>Программирование и компьютерные науки</t>
  </si>
  <si>
    <t>Информационные технологии в цифровой экономике</t>
  </si>
  <si>
    <t>43.03.02</t>
  </si>
  <si>
    <t>Туризм</t>
  </si>
  <si>
    <t>46.03.01</t>
  </si>
  <si>
    <t>История</t>
  </si>
  <si>
    <t>Прикладное программирование и информационные технологии</t>
  </si>
  <si>
    <t>Программирование, алгоритмы и анализ данных</t>
  </si>
  <si>
    <t>Безопасность компьютерных систем</t>
  </si>
  <si>
    <t>Математические методы защиты информации</t>
  </si>
  <si>
    <t>37.03.01</t>
  </si>
  <si>
    <t>Психология</t>
  </si>
  <si>
    <t>03.00.00</t>
  </si>
  <si>
    <t>Физика и Радиофизика</t>
  </si>
  <si>
    <t>Физика и компьютерные технологии</t>
  </si>
  <si>
    <t>Технологии беспроводной связи</t>
  </si>
  <si>
    <t>11.00.00</t>
  </si>
  <si>
    <t>Электроника, радиотехника и системы связи</t>
  </si>
  <si>
    <t>Радиотехника</t>
  </si>
  <si>
    <t>Инфокоммуникационные технологии и системы связи</t>
  </si>
  <si>
    <t>Инновационные материалы и технологии электроники и наноэлектроники</t>
  </si>
  <si>
    <t>45.03.02</t>
  </si>
  <si>
    <t>Перевод и межкультурная коммуникация</t>
  </si>
  <si>
    <t>45.03.01</t>
  </si>
  <si>
    <t>Зарубежная филология (английский язык и литература)</t>
  </si>
  <si>
    <t>Прикладная филология (русский язык)</t>
  </si>
  <si>
    <t>39.03.01</t>
  </si>
  <si>
    <t>Организация и проведение социологических и маркетинговых исследований</t>
  </si>
  <si>
    <t>39.03.02</t>
  </si>
  <si>
    <t>Технологии социальной работы</t>
  </si>
  <si>
    <t>39.03.03</t>
  </si>
  <si>
    <t>Управление молодежными проектами</t>
  </si>
  <si>
    <t>Заочная</t>
  </si>
  <si>
    <t>41.03.04</t>
  </si>
  <si>
    <t>Политический менеджмент</t>
  </si>
  <si>
    <t>41.03.06</t>
  </si>
  <si>
    <t>Управление публичной политикой</t>
  </si>
  <si>
    <t>38.03.01</t>
  </si>
  <si>
    <t>Финансовый и управленческий учет</t>
  </si>
  <si>
    <t>Мировая экономика и международный бизнес</t>
  </si>
  <si>
    <t>Финансы, инвестиции и банки</t>
  </si>
  <si>
    <t>38.03.02</t>
  </si>
  <si>
    <t>Управление проектами</t>
  </si>
  <si>
    <t>Менеджмент в инновационном и социальном предпринимательстве</t>
  </si>
  <si>
    <t>38.03.04</t>
  </si>
  <si>
    <t>Государственные и муниципальные финансы</t>
  </si>
  <si>
    <t>40.03.01</t>
  </si>
  <si>
    <t>Юриспруденция</t>
  </si>
  <si>
    <t>Очно-заочная</t>
  </si>
  <si>
    <t>04.03.01</t>
  </si>
  <si>
    <t>05.03.06</t>
  </si>
  <si>
    <t>06.03.01</t>
  </si>
  <si>
    <t>01.03.02</t>
  </si>
  <si>
    <t>02.03.02</t>
  </si>
  <si>
    <t>09.03.03</t>
  </si>
  <si>
    <t>02.03.01</t>
  </si>
  <si>
    <t>10.03.01</t>
  </si>
  <si>
    <t>10.05.01</t>
  </si>
  <si>
    <t>03.03.02</t>
  </si>
  <si>
    <t>03.03.03</t>
  </si>
  <si>
    <t>11.03.01</t>
  </si>
  <si>
    <t>11.03.02</t>
  </si>
  <si>
    <t>11.03.04</t>
  </si>
  <si>
    <t>КЦП</t>
  </si>
  <si>
    <t>Именование профиля</t>
  </si>
  <si>
    <t>Форма обучения</t>
  </si>
  <si>
    <t>Тип обучения</t>
  </si>
  <si>
    <t>Инструкция</t>
  </si>
  <si>
    <t>Нелязя менять содержимое</t>
  </si>
  <si>
    <t>Можно менять содержимое</t>
  </si>
  <si>
    <t>1) В файле можно добавлять/удалять/изменять строки в зелёной зоне</t>
  </si>
  <si>
    <t>2) При взаимодействии со строками обязательно должен быть соблюдён их формат</t>
  </si>
  <si>
    <t>Правила:</t>
  </si>
  <si>
    <t xml:space="preserve">Данный файл предназначен для настройки доступных мест на каждом направлении </t>
  </si>
  <si>
    <t>университета и будет служить основным источником информации о КЦП для программы</t>
  </si>
  <si>
    <t>символа /</t>
  </si>
  <si>
    <t>3) Направления обязаны быть разделены объеденённой строкой состоящей только из</t>
  </si>
  <si>
    <t>4) Справо от каждого направления обязательно должна находится сумма всех доступных</t>
  </si>
  <si>
    <t>мест</t>
  </si>
  <si>
    <t>Сумма доступных мест</t>
  </si>
  <si>
    <t>/</t>
  </si>
  <si>
    <t>Код</t>
  </si>
  <si>
    <t>Подразделение</t>
  </si>
  <si>
    <t>Факультет биологии и экологии</t>
  </si>
  <si>
    <t>Факультет информатики и вычислительной техники</t>
  </si>
  <si>
    <t>Исторический факультет</t>
  </si>
  <si>
    <t>Математический факультет</t>
  </si>
  <si>
    <t>Факультет психологии</t>
  </si>
  <si>
    <t>Физико-технический факультет</t>
  </si>
  <si>
    <t>Факультет филологии и коммуникации</t>
  </si>
  <si>
    <t>Факультет социально-политических наук</t>
  </si>
  <si>
    <t>Экономический факультет</t>
  </si>
  <si>
    <t>Юридический факультет</t>
  </si>
  <si>
    <t>Факультет иностранных языков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</si>
</sst>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49" fontId="0" fillId="3" borderId="3" xfId="0" applyNumberFormat="1" applyFill="1" applyBorder="1"/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2" xfId="0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4" borderId="2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11" xfId="0" applyNumberFormat="1" applyFill="1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49" fontId="0" fillId="3" borderId="12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49" fontId="0" fillId="0" borderId="0" xfId="0" applyNumberFormat="1" applyFill="1" applyBorder="1" applyAlignment="1">
      <alignment vertical="center"/>
    </xf>
    <xf numFmtId="49" fontId="0" fillId="0" borderId="4" xfId="0" applyNumberForma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1DB8-897A-494C-AAEB-04606290CEE3}">
  <dimension ref="A1:R179"/>
  <sheetViews>
    <sheetView tabSelected="1" topLeftCell="A75" zoomScale="115" zoomScaleNormal="115" workbookViewId="0">
      <selection activeCell="I87" sqref="I87"/>
    </sheetView>
  </sheetViews>
  <sheetFormatPr defaultRowHeight="15" x14ac:dyDescent="0.25"/>
  <cols>
    <col min="1" max="1" width="13.42578125" style="1" customWidth="1"/>
    <col min="2" max="2" width="48.85546875" style="17" bestFit="1" customWidth="1"/>
    <col min="3" max="3" width="53.7109375" customWidth="1"/>
    <col min="4" max="4" width="16.140625" style="1" customWidth="1"/>
    <col min="5" max="5" width="16" customWidth="1"/>
    <col min="6" max="6" width="6.7109375" style="1" customWidth="1"/>
    <col min="7" max="7" width="21.28515625" customWidth="1"/>
  </cols>
  <sheetData>
    <row r="1" spans="1:18" ht="18.75" x14ac:dyDescent="0.3">
      <c r="A1" s="2" t="s">
        <v>91</v>
      </c>
      <c r="B1" s="16" t="s">
        <v>92</v>
      </c>
      <c r="C1" s="2" t="s">
        <v>74</v>
      </c>
      <c r="D1" s="2" t="s">
        <v>75</v>
      </c>
      <c r="E1" s="2" t="s">
        <v>76</v>
      </c>
      <c r="F1" s="2" t="s">
        <v>73</v>
      </c>
      <c r="G1" s="2" t="s">
        <v>89</v>
      </c>
      <c r="H1" s="26" t="s">
        <v>77</v>
      </c>
      <c r="I1" s="26"/>
      <c r="J1" s="26"/>
      <c r="K1" s="26"/>
      <c r="L1" s="26"/>
      <c r="M1" s="7"/>
      <c r="N1" s="7"/>
      <c r="O1" s="7"/>
      <c r="P1" s="7"/>
      <c r="Q1" s="7"/>
      <c r="R1" s="8"/>
    </row>
    <row r="2" spans="1:18" x14ac:dyDescent="0.25">
      <c r="A2" s="5" t="s">
        <v>59</v>
      </c>
      <c r="B2" s="18" t="s">
        <v>93</v>
      </c>
      <c r="C2" s="4" t="s">
        <v>0</v>
      </c>
      <c r="D2" s="5" t="s">
        <v>1</v>
      </c>
      <c r="E2" s="4" t="s">
        <v>2</v>
      </c>
      <c r="F2" s="6">
        <v>24</v>
      </c>
      <c r="G2" s="3">
        <f>F2+F3+F4+F5</f>
        <v>40</v>
      </c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spans="1:18" ht="15.75" x14ac:dyDescent="0.25">
      <c r="A3" s="5" t="s">
        <v>59</v>
      </c>
      <c r="B3" s="19" t="s">
        <v>93</v>
      </c>
      <c r="C3" s="4" t="s">
        <v>0</v>
      </c>
      <c r="D3" s="5" t="s">
        <v>1</v>
      </c>
      <c r="E3" s="4" t="s">
        <v>3</v>
      </c>
      <c r="F3" s="6">
        <v>4</v>
      </c>
      <c r="G3" s="3"/>
      <c r="H3" s="12"/>
      <c r="I3" s="30" t="s">
        <v>78</v>
      </c>
      <c r="J3" s="31"/>
      <c r="K3" s="32"/>
      <c r="L3" s="12"/>
      <c r="M3" s="12"/>
      <c r="N3" s="12"/>
      <c r="O3" s="12"/>
      <c r="P3" s="12"/>
      <c r="Q3" s="12"/>
      <c r="R3" s="13"/>
    </row>
    <row r="4" spans="1:18" ht="15.75" x14ac:dyDescent="0.25">
      <c r="A4" s="5" t="s">
        <v>59</v>
      </c>
      <c r="B4" s="19" t="s">
        <v>93</v>
      </c>
      <c r="C4" s="4" t="s">
        <v>0</v>
      </c>
      <c r="D4" s="5" t="s">
        <v>1</v>
      </c>
      <c r="E4" s="4" t="s">
        <v>4</v>
      </c>
      <c r="F4" s="6">
        <v>4</v>
      </c>
      <c r="G4" s="3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ht="15.75" x14ac:dyDescent="0.25">
      <c r="A5" s="5" t="s">
        <v>59</v>
      </c>
      <c r="B5" s="20" t="s">
        <v>93</v>
      </c>
      <c r="C5" s="4" t="s">
        <v>0</v>
      </c>
      <c r="D5" s="5" t="s">
        <v>1</v>
      </c>
      <c r="E5" s="4" t="s">
        <v>5</v>
      </c>
      <c r="F5" s="6">
        <v>8</v>
      </c>
      <c r="G5" s="3"/>
      <c r="H5" s="12"/>
      <c r="I5" s="27" t="s">
        <v>79</v>
      </c>
      <c r="J5" s="28"/>
      <c r="K5" s="29"/>
      <c r="L5" s="12"/>
      <c r="M5" s="12"/>
      <c r="N5" s="12"/>
      <c r="O5" s="12"/>
      <c r="P5" s="12"/>
      <c r="Q5" s="12"/>
      <c r="R5" s="13"/>
    </row>
    <row r="6" spans="1:18" ht="15.75" x14ac:dyDescent="0.25">
      <c r="A6" s="24" t="s">
        <v>90</v>
      </c>
      <c r="B6" s="25"/>
      <c r="C6" s="25"/>
      <c r="D6" s="25"/>
      <c r="E6" s="25"/>
      <c r="F6" s="25"/>
      <c r="G6" s="2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</row>
    <row r="7" spans="1:18" ht="15.75" x14ac:dyDescent="0.25">
      <c r="A7" s="5" t="s">
        <v>60</v>
      </c>
      <c r="B7" s="18" t="s">
        <v>93</v>
      </c>
      <c r="C7" s="4" t="s">
        <v>6</v>
      </c>
      <c r="D7" s="5" t="s">
        <v>1</v>
      </c>
      <c r="E7" s="4" t="s">
        <v>2</v>
      </c>
      <c r="F7" s="6">
        <v>13</v>
      </c>
      <c r="G7" s="3">
        <f>F7+F8+F9+F10</f>
        <v>19</v>
      </c>
      <c r="H7" s="12"/>
      <c r="I7" s="23" t="s">
        <v>83</v>
      </c>
      <c r="J7" s="23"/>
      <c r="K7" s="23"/>
      <c r="L7" s="23"/>
      <c r="M7" s="23"/>
      <c r="N7" s="23"/>
      <c r="O7" s="23"/>
      <c r="P7" s="23"/>
      <c r="Q7" s="23"/>
      <c r="R7" s="13"/>
    </row>
    <row r="8" spans="1:18" ht="15.75" x14ac:dyDescent="0.25">
      <c r="A8" s="5" t="s">
        <v>60</v>
      </c>
      <c r="B8" s="19" t="s">
        <v>93</v>
      </c>
      <c r="C8" s="4" t="s">
        <v>6</v>
      </c>
      <c r="D8" s="5" t="s">
        <v>1</v>
      </c>
      <c r="E8" s="4" t="s">
        <v>3</v>
      </c>
      <c r="F8" s="6">
        <v>2</v>
      </c>
      <c r="G8" s="3"/>
      <c r="H8" s="12"/>
      <c r="I8" s="23" t="s">
        <v>84</v>
      </c>
      <c r="J8" s="23"/>
      <c r="K8" s="23"/>
      <c r="L8" s="23"/>
      <c r="M8" s="23"/>
      <c r="N8" s="23"/>
      <c r="O8" s="23"/>
      <c r="P8" s="23"/>
      <c r="Q8" s="23"/>
      <c r="R8" s="13"/>
    </row>
    <row r="9" spans="1:18" ht="15.75" x14ac:dyDescent="0.25">
      <c r="A9" s="5" t="s">
        <v>60</v>
      </c>
      <c r="B9" s="19" t="s">
        <v>93</v>
      </c>
      <c r="C9" s="4" t="s">
        <v>6</v>
      </c>
      <c r="D9" s="5" t="s">
        <v>1</v>
      </c>
      <c r="E9" s="4" t="s">
        <v>4</v>
      </c>
      <c r="F9" s="6">
        <v>2</v>
      </c>
      <c r="G9" s="3"/>
      <c r="H9" s="12"/>
      <c r="I9" s="23" t="s">
        <v>82</v>
      </c>
      <c r="J9" s="23"/>
      <c r="K9" s="23"/>
      <c r="L9" s="23"/>
      <c r="M9" s="23"/>
      <c r="N9" s="23"/>
      <c r="O9" s="23"/>
      <c r="P9" s="23"/>
      <c r="Q9" s="23"/>
      <c r="R9" s="13"/>
    </row>
    <row r="10" spans="1:18" ht="15.75" x14ac:dyDescent="0.25">
      <c r="A10" s="5" t="s">
        <v>60</v>
      </c>
      <c r="B10" s="20" t="s">
        <v>93</v>
      </c>
      <c r="C10" s="4" t="s">
        <v>6</v>
      </c>
      <c r="D10" s="5" t="s">
        <v>1</v>
      </c>
      <c r="E10" s="4" t="s">
        <v>5</v>
      </c>
      <c r="F10" s="6">
        <v>2</v>
      </c>
      <c r="G10" s="3"/>
      <c r="H10" s="12"/>
      <c r="I10" s="23" t="s">
        <v>80</v>
      </c>
      <c r="J10" s="23"/>
      <c r="K10" s="23"/>
      <c r="L10" s="23"/>
      <c r="M10" s="23"/>
      <c r="N10" s="23"/>
      <c r="O10" s="23"/>
      <c r="P10" s="23"/>
      <c r="Q10" s="12"/>
      <c r="R10" s="13"/>
    </row>
    <row r="11" spans="1:18" ht="15.75" x14ac:dyDescent="0.25">
      <c r="A11" s="24" t="s">
        <v>90</v>
      </c>
      <c r="B11" s="25"/>
      <c r="C11" s="25"/>
      <c r="D11" s="25"/>
      <c r="E11" s="25"/>
      <c r="F11" s="25"/>
      <c r="G11" s="22"/>
      <c r="H11" s="12"/>
      <c r="I11" s="11" t="s">
        <v>81</v>
      </c>
      <c r="J11" s="11"/>
      <c r="K11" s="11"/>
      <c r="L11" s="11"/>
      <c r="M11" s="11"/>
      <c r="N11" s="11"/>
      <c r="O11" s="11"/>
      <c r="P11" s="11"/>
      <c r="Q11" s="11"/>
      <c r="R11" s="13"/>
    </row>
    <row r="12" spans="1:18" ht="15.75" x14ac:dyDescent="0.25">
      <c r="A12" s="5" t="s">
        <v>61</v>
      </c>
      <c r="B12" s="18" t="s">
        <v>93</v>
      </c>
      <c r="C12" s="4" t="s">
        <v>7</v>
      </c>
      <c r="D12" s="5" t="s">
        <v>1</v>
      </c>
      <c r="E12" s="4" t="s">
        <v>2</v>
      </c>
      <c r="F12" s="6">
        <v>10</v>
      </c>
      <c r="G12" s="3">
        <f>F12+F13+F14+F15</f>
        <v>15</v>
      </c>
      <c r="H12" s="12"/>
      <c r="I12" s="23" t="s">
        <v>86</v>
      </c>
      <c r="J12" s="23"/>
      <c r="K12" s="23"/>
      <c r="L12" s="23"/>
      <c r="M12" s="23"/>
      <c r="N12" s="23"/>
      <c r="O12" s="23"/>
      <c r="P12" s="23"/>
      <c r="Q12" s="23"/>
      <c r="R12" s="13"/>
    </row>
    <row r="13" spans="1:18" ht="15.75" x14ac:dyDescent="0.25">
      <c r="A13" s="5" t="s">
        <v>61</v>
      </c>
      <c r="B13" s="19" t="s">
        <v>93</v>
      </c>
      <c r="C13" s="4" t="s">
        <v>7</v>
      </c>
      <c r="D13" s="5" t="s">
        <v>1</v>
      </c>
      <c r="E13" s="4" t="s">
        <v>3</v>
      </c>
      <c r="F13" s="6">
        <v>2</v>
      </c>
      <c r="G13" s="3"/>
      <c r="H13" s="12"/>
      <c r="I13" s="23" t="s">
        <v>85</v>
      </c>
      <c r="J13" s="23"/>
      <c r="K13" s="23"/>
      <c r="L13" s="23"/>
      <c r="M13" s="23"/>
      <c r="N13" s="23"/>
      <c r="O13" s="23"/>
      <c r="P13" s="23"/>
      <c r="Q13" s="23"/>
      <c r="R13" s="13"/>
    </row>
    <row r="14" spans="1:18" ht="15.75" x14ac:dyDescent="0.25">
      <c r="A14" s="5" t="s">
        <v>61</v>
      </c>
      <c r="B14" s="19" t="s">
        <v>93</v>
      </c>
      <c r="C14" s="4" t="s">
        <v>7</v>
      </c>
      <c r="D14" s="5" t="s">
        <v>1</v>
      </c>
      <c r="E14" s="4" t="s">
        <v>4</v>
      </c>
      <c r="F14" s="6">
        <v>2</v>
      </c>
      <c r="G14" s="3"/>
      <c r="H14" s="12"/>
      <c r="I14" s="12" t="s">
        <v>87</v>
      </c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5.75" x14ac:dyDescent="0.25">
      <c r="A15" s="5" t="s">
        <v>61</v>
      </c>
      <c r="B15" s="20" t="s">
        <v>93</v>
      </c>
      <c r="C15" s="4" t="s">
        <v>7</v>
      </c>
      <c r="D15" s="5" t="s">
        <v>1</v>
      </c>
      <c r="E15" s="4" t="s">
        <v>5</v>
      </c>
      <c r="F15" s="6">
        <v>1</v>
      </c>
      <c r="G15" s="3"/>
      <c r="H15" s="12"/>
      <c r="I15" s="23" t="s">
        <v>88</v>
      </c>
      <c r="J15" s="23"/>
      <c r="K15" s="23"/>
      <c r="L15" s="23"/>
      <c r="M15" s="23"/>
      <c r="N15" s="23"/>
      <c r="O15" s="23"/>
      <c r="P15" s="23"/>
      <c r="Q15" s="23"/>
      <c r="R15" s="13"/>
    </row>
    <row r="16" spans="1:18" ht="15.75" x14ac:dyDescent="0.25">
      <c r="A16" s="24" t="s">
        <v>90</v>
      </c>
      <c r="B16" s="25"/>
      <c r="C16" s="25"/>
      <c r="D16" s="25"/>
      <c r="E16" s="25"/>
      <c r="F16" s="25"/>
      <c r="G16" s="22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/>
    </row>
    <row r="17" spans="1:7" x14ac:dyDescent="0.25">
      <c r="A17" s="5" t="s">
        <v>61</v>
      </c>
      <c r="B17" s="18" t="s">
        <v>93</v>
      </c>
      <c r="C17" s="4" t="s">
        <v>8</v>
      </c>
      <c r="D17" s="5" t="s">
        <v>1</v>
      </c>
      <c r="E17" s="4" t="s">
        <v>2</v>
      </c>
      <c r="F17" s="6">
        <v>33</v>
      </c>
      <c r="G17" s="3">
        <f>F17+F18+F19+F20</f>
        <v>45</v>
      </c>
    </row>
    <row r="18" spans="1:7" x14ac:dyDescent="0.25">
      <c r="A18" s="5" t="s">
        <v>61</v>
      </c>
      <c r="B18" s="19" t="s">
        <v>93</v>
      </c>
      <c r="C18" s="4" t="s">
        <v>8</v>
      </c>
      <c r="D18" s="5" t="s">
        <v>1</v>
      </c>
      <c r="E18" s="4" t="s">
        <v>3</v>
      </c>
      <c r="F18" s="6">
        <v>5</v>
      </c>
      <c r="G18" s="3"/>
    </row>
    <row r="19" spans="1:7" x14ac:dyDescent="0.25">
      <c r="A19" s="5" t="s">
        <v>61</v>
      </c>
      <c r="B19" s="19" t="s">
        <v>93</v>
      </c>
      <c r="C19" s="4" t="s">
        <v>8</v>
      </c>
      <c r="D19" s="5" t="s">
        <v>1</v>
      </c>
      <c r="E19" s="4" t="s">
        <v>4</v>
      </c>
      <c r="F19" s="6">
        <v>5</v>
      </c>
      <c r="G19" s="3"/>
    </row>
    <row r="20" spans="1:7" x14ac:dyDescent="0.25">
      <c r="A20" s="5" t="s">
        <v>61</v>
      </c>
      <c r="B20" s="20" t="s">
        <v>93</v>
      </c>
      <c r="C20" s="4" t="s">
        <v>8</v>
      </c>
      <c r="D20" s="5" t="s">
        <v>1</v>
      </c>
      <c r="E20" s="4" t="s">
        <v>5</v>
      </c>
      <c r="F20" s="6">
        <v>2</v>
      </c>
      <c r="G20" s="3"/>
    </row>
    <row r="21" spans="1:7" x14ac:dyDescent="0.25">
      <c r="A21" s="21" t="s">
        <v>90</v>
      </c>
      <c r="B21" s="22"/>
      <c r="C21" s="22"/>
      <c r="D21" s="22"/>
      <c r="E21" s="22"/>
      <c r="F21" s="22"/>
      <c r="G21" s="22"/>
    </row>
    <row r="22" spans="1:7" x14ac:dyDescent="0.25">
      <c r="A22" s="5" t="s">
        <v>62</v>
      </c>
      <c r="B22" s="18" t="s">
        <v>94</v>
      </c>
      <c r="C22" s="4" t="s">
        <v>9</v>
      </c>
      <c r="D22" s="5" t="s">
        <v>1</v>
      </c>
      <c r="E22" s="4" t="s">
        <v>2</v>
      </c>
      <c r="F22" s="6">
        <v>45</v>
      </c>
      <c r="G22" s="3">
        <f>F22+F23+F24+F25</f>
        <v>66</v>
      </c>
    </row>
    <row r="23" spans="1:7" x14ac:dyDescent="0.25">
      <c r="A23" s="5" t="s">
        <v>62</v>
      </c>
      <c r="B23" s="19" t="s">
        <v>94</v>
      </c>
      <c r="C23" s="4" t="s">
        <v>9</v>
      </c>
      <c r="D23" s="5" t="s">
        <v>1</v>
      </c>
      <c r="E23" s="4" t="s">
        <v>3</v>
      </c>
      <c r="F23" s="6">
        <v>7</v>
      </c>
      <c r="G23" s="3"/>
    </row>
    <row r="24" spans="1:7" x14ac:dyDescent="0.25">
      <c r="A24" s="5" t="s">
        <v>62</v>
      </c>
      <c r="B24" s="19" t="s">
        <v>94</v>
      </c>
      <c r="C24" s="4" t="s">
        <v>9</v>
      </c>
      <c r="D24" s="5" t="s">
        <v>1</v>
      </c>
      <c r="E24" s="4" t="s">
        <v>4</v>
      </c>
      <c r="F24" s="6">
        <v>7</v>
      </c>
      <c r="G24" s="3"/>
    </row>
    <row r="25" spans="1:7" x14ac:dyDescent="0.25">
      <c r="A25" s="5" t="s">
        <v>62</v>
      </c>
      <c r="B25" s="20" t="s">
        <v>94</v>
      </c>
      <c r="C25" s="4" t="s">
        <v>9</v>
      </c>
      <c r="D25" s="5" t="s">
        <v>1</v>
      </c>
      <c r="E25" s="4" t="s">
        <v>5</v>
      </c>
      <c r="F25" s="6">
        <v>7</v>
      </c>
      <c r="G25" s="3"/>
    </row>
    <row r="26" spans="1:7" x14ac:dyDescent="0.25">
      <c r="A26" s="21" t="s">
        <v>90</v>
      </c>
      <c r="B26" s="22"/>
      <c r="C26" s="22"/>
      <c r="D26" s="22"/>
      <c r="E26" s="22"/>
      <c r="F26" s="22"/>
      <c r="G26" s="22"/>
    </row>
    <row r="27" spans="1:7" x14ac:dyDescent="0.25">
      <c r="A27" s="5" t="s">
        <v>63</v>
      </c>
      <c r="B27" s="18" t="s">
        <v>94</v>
      </c>
      <c r="C27" s="4" t="s">
        <v>10</v>
      </c>
      <c r="D27" s="5" t="s">
        <v>1</v>
      </c>
      <c r="E27" s="4" t="s">
        <v>2</v>
      </c>
      <c r="F27" s="6">
        <v>35</v>
      </c>
      <c r="G27" s="3">
        <f>F27+F28+F29+F30</f>
        <v>50</v>
      </c>
    </row>
    <row r="28" spans="1:7" x14ac:dyDescent="0.25">
      <c r="A28" s="5" t="s">
        <v>63</v>
      </c>
      <c r="B28" s="19" t="s">
        <v>94</v>
      </c>
      <c r="C28" s="4" t="s">
        <v>10</v>
      </c>
      <c r="D28" s="5" t="s">
        <v>1</v>
      </c>
      <c r="E28" s="4" t="s">
        <v>3</v>
      </c>
      <c r="F28" s="6">
        <v>5</v>
      </c>
      <c r="G28" s="3"/>
    </row>
    <row r="29" spans="1:7" x14ac:dyDescent="0.25">
      <c r="A29" s="5" t="s">
        <v>63</v>
      </c>
      <c r="B29" s="19" t="s">
        <v>94</v>
      </c>
      <c r="C29" s="4" t="s">
        <v>10</v>
      </c>
      <c r="D29" s="5" t="s">
        <v>1</v>
      </c>
      <c r="E29" s="4" t="s">
        <v>4</v>
      </c>
      <c r="F29" s="6">
        <v>5</v>
      </c>
      <c r="G29" s="3"/>
    </row>
    <row r="30" spans="1:7" x14ac:dyDescent="0.25">
      <c r="A30" s="5" t="s">
        <v>63</v>
      </c>
      <c r="B30" s="20" t="s">
        <v>94</v>
      </c>
      <c r="C30" s="4" t="s">
        <v>10</v>
      </c>
      <c r="D30" s="5" t="s">
        <v>1</v>
      </c>
      <c r="E30" s="4" t="s">
        <v>5</v>
      </c>
      <c r="F30" s="6">
        <v>5</v>
      </c>
      <c r="G30" s="3"/>
    </row>
    <row r="31" spans="1:7" x14ac:dyDescent="0.25">
      <c r="A31" s="21" t="s">
        <v>90</v>
      </c>
      <c r="B31" s="22"/>
      <c r="C31" s="22"/>
      <c r="D31" s="22"/>
      <c r="E31" s="22"/>
      <c r="F31" s="22"/>
      <c r="G31" s="22"/>
    </row>
    <row r="32" spans="1:7" x14ac:dyDescent="0.25">
      <c r="A32" s="5" t="s">
        <v>64</v>
      </c>
      <c r="B32" s="18" t="s">
        <v>94</v>
      </c>
      <c r="C32" s="4" t="s">
        <v>11</v>
      </c>
      <c r="D32" s="5" t="s">
        <v>1</v>
      </c>
      <c r="E32" s="4" t="s">
        <v>2</v>
      </c>
      <c r="F32" s="6">
        <v>35</v>
      </c>
      <c r="G32" s="3">
        <f>F32+F33+F34+F35</f>
        <v>50</v>
      </c>
    </row>
    <row r="33" spans="1:7" x14ac:dyDescent="0.25">
      <c r="A33" s="5" t="s">
        <v>64</v>
      </c>
      <c r="B33" s="19" t="s">
        <v>94</v>
      </c>
      <c r="C33" s="4" t="s">
        <v>11</v>
      </c>
      <c r="D33" s="5" t="s">
        <v>1</v>
      </c>
      <c r="E33" s="4" t="s">
        <v>3</v>
      </c>
      <c r="F33" s="6">
        <v>5</v>
      </c>
      <c r="G33" s="3"/>
    </row>
    <row r="34" spans="1:7" x14ac:dyDescent="0.25">
      <c r="A34" s="5" t="s">
        <v>64</v>
      </c>
      <c r="B34" s="19" t="s">
        <v>94</v>
      </c>
      <c r="C34" s="4" t="s">
        <v>11</v>
      </c>
      <c r="D34" s="5" t="s">
        <v>1</v>
      </c>
      <c r="E34" s="4" t="s">
        <v>4</v>
      </c>
      <c r="F34" s="6">
        <v>5</v>
      </c>
      <c r="G34" s="3"/>
    </row>
    <row r="35" spans="1:7" x14ac:dyDescent="0.25">
      <c r="A35" s="5" t="s">
        <v>64</v>
      </c>
      <c r="B35" s="20" t="s">
        <v>94</v>
      </c>
      <c r="C35" s="4" t="s">
        <v>11</v>
      </c>
      <c r="D35" s="5" t="s">
        <v>1</v>
      </c>
      <c r="E35" s="4" t="s">
        <v>5</v>
      </c>
      <c r="F35" s="6">
        <v>5</v>
      </c>
      <c r="G35" s="3"/>
    </row>
    <row r="36" spans="1:7" x14ac:dyDescent="0.25">
      <c r="A36" s="21" t="s">
        <v>90</v>
      </c>
      <c r="B36" s="22"/>
      <c r="C36" s="22"/>
      <c r="D36" s="22"/>
      <c r="E36" s="22"/>
      <c r="F36" s="22"/>
      <c r="G36" s="22"/>
    </row>
    <row r="37" spans="1:7" x14ac:dyDescent="0.25">
      <c r="A37" s="5" t="s">
        <v>12</v>
      </c>
      <c r="B37" s="18" t="s">
        <v>95</v>
      </c>
      <c r="C37" s="4" t="s">
        <v>13</v>
      </c>
      <c r="D37" s="5" t="s">
        <v>1</v>
      </c>
      <c r="E37" s="4" t="s">
        <v>2</v>
      </c>
      <c r="F37" s="6">
        <v>22</v>
      </c>
      <c r="G37" s="3">
        <f>F37+F38+F39+F40</f>
        <v>30</v>
      </c>
    </row>
    <row r="38" spans="1:7" x14ac:dyDescent="0.25">
      <c r="A38" s="5" t="s">
        <v>12</v>
      </c>
      <c r="B38" s="19" t="s">
        <v>95</v>
      </c>
      <c r="C38" s="4" t="s">
        <v>13</v>
      </c>
      <c r="D38" s="5" t="s">
        <v>1</v>
      </c>
      <c r="E38" s="4" t="s">
        <v>3</v>
      </c>
      <c r="F38" s="6">
        <v>3</v>
      </c>
      <c r="G38" s="3"/>
    </row>
    <row r="39" spans="1:7" x14ac:dyDescent="0.25">
      <c r="A39" s="5" t="s">
        <v>12</v>
      </c>
      <c r="B39" s="19" t="s">
        <v>95</v>
      </c>
      <c r="C39" s="4" t="s">
        <v>13</v>
      </c>
      <c r="D39" s="5" t="s">
        <v>1</v>
      </c>
      <c r="E39" s="4" t="s">
        <v>4</v>
      </c>
      <c r="F39" s="6">
        <v>3</v>
      </c>
      <c r="G39" s="3"/>
    </row>
    <row r="40" spans="1:7" x14ac:dyDescent="0.25">
      <c r="A40" s="5" t="s">
        <v>12</v>
      </c>
      <c r="B40" s="20" t="s">
        <v>95</v>
      </c>
      <c r="C40" s="4" t="s">
        <v>13</v>
      </c>
      <c r="D40" s="5" t="s">
        <v>1</v>
      </c>
      <c r="E40" s="4" t="s">
        <v>5</v>
      </c>
      <c r="F40" s="6">
        <v>2</v>
      </c>
      <c r="G40" s="3"/>
    </row>
    <row r="41" spans="1:7" x14ac:dyDescent="0.25">
      <c r="A41" s="21" t="s">
        <v>90</v>
      </c>
      <c r="B41" s="22"/>
      <c r="C41" s="22"/>
      <c r="D41" s="22"/>
      <c r="E41" s="22"/>
      <c r="F41" s="22"/>
      <c r="G41" s="22"/>
    </row>
    <row r="42" spans="1:7" x14ac:dyDescent="0.25">
      <c r="A42" s="5" t="s">
        <v>14</v>
      </c>
      <c r="B42" s="18" t="s">
        <v>95</v>
      </c>
      <c r="C42" s="4" t="s">
        <v>15</v>
      </c>
      <c r="D42" s="5" t="s">
        <v>1</v>
      </c>
      <c r="E42" s="4" t="s">
        <v>2</v>
      </c>
      <c r="F42" s="6">
        <v>22</v>
      </c>
      <c r="G42" s="3">
        <f>F42+F43+F44+F45</f>
        <v>35</v>
      </c>
    </row>
    <row r="43" spans="1:7" x14ac:dyDescent="0.25">
      <c r="A43" s="5" t="s">
        <v>14</v>
      </c>
      <c r="B43" s="19" t="s">
        <v>95</v>
      </c>
      <c r="C43" s="4" t="s">
        <v>15</v>
      </c>
      <c r="D43" s="5" t="s">
        <v>1</v>
      </c>
      <c r="E43" s="4" t="s">
        <v>3</v>
      </c>
      <c r="F43" s="6">
        <v>4</v>
      </c>
      <c r="G43" s="3"/>
    </row>
    <row r="44" spans="1:7" x14ac:dyDescent="0.25">
      <c r="A44" s="5" t="s">
        <v>14</v>
      </c>
      <c r="B44" s="19" t="s">
        <v>95</v>
      </c>
      <c r="C44" s="4" t="s">
        <v>15</v>
      </c>
      <c r="D44" s="5" t="s">
        <v>1</v>
      </c>
      <c r="E44" s="4" t="s">
        <v>4</v>
      </c>
      <c r="F44" s="6">
        <v>4</v>
      </c>
      <c r="G44" s="3"/>
    </row>
    <row r="45" spans="1:7" x14ac:dyDescent="0.25">
      <c r="A45" s="5" t="s">
        <v>14</v>
      </c>
      <c r="B45" s="20" t="s">
        <v>95</v>
      </c>
      <c r="C45" s="4" t="s">
        <v>15</v>
      </c>
      <c r="D45" s="5" t="s">
        <v>1</v>
      </c>
      <c r="E45" s="4" t="s">
        <v>5</v>
      </c>
      <c r="F45" s="6">
        <v>5</v>
      </c>
      <c r="G45" s="3"/>
    </row>
    <row r="46" spans="1:7" x14ac:dyDescent="0.25">
      <c r="A46" s="21" t="s">
        <v>90</v>
      </c>
      <c r="B46" s="22"/>
      <c r="C46" s="22"/>
      <c r="D46" s="22"/>
      <c r="E46" s="22"/>
      <c r="F46" s="22"/>
      <c r="G46" s="22"/>
    </row>
    <row r="47" spans="1:7" x14ac:dyDescent="0.25">
      <c r="A47" s="5" t="s">
        <v>62</v>
      </c>
      <c r="B47" s="18" t="s">
        <v>96</v>
      </c>
      <c r="C47" s="4" t="s">
        <v>16</v>
      </c>
      <c r="D47" s="5" t="s">
        <v>1</v>
      </c>
      <c r="E47" s="4" t="s">
        <v>2</v>
      </c>
      <c r="F47" s="6">
        <v>46</v>
      </c>
      <c r="G47" s="3">
        <f>F47+F48+F49+F50</f>
        <v>66</v>
      </c>
    </row>
    <row r="48" spans="1:7" x14ac:dyDescent="0.25">
      <c r="A48" s="5" t="s">
        <v>62</v>
      </c>
      <c r="B48" s="19" t="s">
        <v>96</v>
      </c>
      <c r="C48" s="4" t="s">
        <v>16</v>
      </c>
      <c r="D48" s="5" t="s">
        <v>1</v>
      </c>
      <c r="E48" s="4" t="s">
        <v>3</v>
      </c>
      <c r="F48" s="6">
        <v>7</v>
      </c>
      <c r="G48" s="3"/>
    </row>
    <row r="49" spans="1:7" x14ac:dyDescent="0.25">
      <c r="A49" s="5" t="s">
        <v>62</v>
      </c>
      <c r="B49" s="19" t="s">
        <v>96</v>
      </c>
      <c r="C49" s="4" t="s">
        <v>16</v>
      </c>
      <c r="D49" s="5" t="s">
        <v>1</v>
      </c>
      <c r="E49" s="4" t="s">
        <v>4</v>
      </c>
      <c r="F49" s="6">
        <v>7</v>
      </c>
      <c r="G49" s="3"/>
    </row>
    <row r="50" spans="1:7" x14ac:dyDescent="0.25">
      <c r="A50" s="5" t="s">
        <v>62</v>
      </c>
      <c r="B50" s="20" t="s">
        <v>96</v>
      </c>
      <c r="C50" s="4" t="s">
        <v>16</v>
      </c>
      <c r="D50" s="5" t="s">
        <v>1</v>
      </c>
      <c r="E50" s="4" t="s">
        <v>5</v>
      </c>
      <c r="F50" s="6">
        <v>6</v>
      </c>
      <c r="G50" s="3"/>
    </row>
    <row r="51" spans="1:7" x14ac:dyDescent="0.25">
      <c r="A51" s="21" t="s">
        <v>90</v>
      </c>
      <c r="B51" s="22"/>
      <c r="C51" s="22"/>
      <c r="D51" s="22"/>
      <c r="E51" s="22"/>
      <c r="F51" s="22"/>
      <c r="G51" s="22"/>
    </row>
    <row r="52" spans="1:7" x14ac:dyDescent="0.25">
      <c r="A52" s="5" t="s">
        <v>65</v>
      </c>
      <c r="B52" s="18" t="s">
        <v>96</v>
      </c>
      <c r="C52" s="4" t="s">
        <v>17</v>
      </c>
      <c r="D52" s="5" t="s">
        <v>1</v>
      </c>
      <c r="E52" s="4" t="s">
        <v>2</v>
      </c>
      <c r="F52" s="6">
        <v>15</v>
      </c>
      <c r="G52" s="3">
        <f>F52+F53+F54+F55</f>
        <v>25</v>
      </c>
    </row>
    <row r="53" spans="1:7" x14ac:dyDescent="0.25">
      <c r="A53" s="5" t="s">
        <v>65</v>
      </c>
      <c r="B53" s="19" t="s">
        <v>96</v>
      </c>
      <c r="C53" s="4" t="s">
        <v>17</v>
      </c>
      <c r="D53" s="5" t="s">
        <v>1</v>
      </c>
      <c r="E53" s="4" t="s">
        <v>3</v>
      </c>
      <c r="F53" s="6">
        <v>3</v>
      </c>
      <c r="G53" s="3"/>
    </row>
    <row r="54" spans="1:7" x14ac:dyDescent="0.25">
      <c r="A54" s="5" t="s">
        <v>65</v>
      </c>
      <c r="B54" s="19" t="s">
        <v>96</v>
      </c>
      <c r="C54" s="4" t="s">
        <v>17</v>
      </c>
      <c r="D54" s="5" t="s">
        <v>1</v>
      </c>
      <c r="E54" s="4" t="s">
        <v>4</v>
      </c>
      <c r="F54" s="6">
        <v>3</v>
      </c>
      <c r="G54" s="3"/>
    </row>
    <row r="55" spans="1:7" x14ac:dyDescent="0.25">
      <c r="A55" s="5" t="s">
        <v>65</v>
      </c>
      <c r="B55" s="20" t="s">
        <v>96</v>
      </c>
      <c r="C55" s="4" t="s">
        <v>17</v>
      </c>
      <c r="D55" s="5" t="s">
        <v>1</v>
      </c>
      <c r="E55" s="4" t="s">
        <v>5</v>
      </c>
      <c r="F55" s="6">
        <v>4</v>
      </c>
      <c r="G55" s="3"/>
    </row>
    <row r="56" spans="1:7" x14ac:dyDescent="0.25">
      <c r="A56" s="21" t="s">
        <v>90</v>
      </c>
      <c r="B56" s="22"/>
      <c r="C56" s="22"/>
      <c r="D56" s="22"/>
      <c r="E56" s="22"/>
      <c r="F56" s="22"/>
      <c r="G56" s="22"/>
    </row>
    <row r="57" spans="1:7" x14ac:dyDescent="0.25">
      <c r="A57" s="5" t="s">
        <v>66</v>
      </c>
      <c r="B57" s="18" t="s">
        <v>96</v>
      </c>
      <c r="C57" s="4" t="s">
        <v>18</v>
      </c>
      <c r="D57" s="5" t="s">
        <v>1</v>
      </c>
      <c r="E57" s="4" t="s">
        <v>2</v>
      </c>
      <c r="F57" s="6">
        <v>7</v>
      </c>
      <c r="G57" s="3">
        <f>F57+F58+F59+F60</f>
        <v>19</v>
      </c>
    </row>
    <row r="58" spans="1:7" x14ac:dyDescent="0.25">
      <c r="A58" s="5" t="s">
        <v>66</v>
      </c>
      <c r="B58" s="19" t="s">
        <v>96</v>
      </c>
      <c r="C58" s="4" t="s">
        <v>18</v>
      </c>
      <c r="D58" s="5" t="s">
        <v>1</v>
      </c>
      <c r="E58" s="4" t="s">
        <v>3</v>
      </c>
      <c r="F58" s="6">
        <v>2</v>
      </c>
      <c r="G58" s="3"/>
    </row>
    <row r="59" spans="1:7" x14ac:dyDescent="0.25">
      <c r="A59" s="5" t="s">
        <v>66</v>
      </c>
      <c r="B59" s="19" t="s">
        <v>96</v>
      </c>
      <c r="C59" s="4" t="s">
        <v>18</v>
      </c>
      <c r="D59" s="5" t="s">
        <v>1</v>
      </c>
      <c r="E59" s="4" t="s">
        <v>4</v>
      </c>
      <c r="F59" s="6">
        <v>2</v>
      </c>
      <c r="G59" s="3"/>
    </row>
    <row r="60" spans="1:7" x14ac:dyDescent="0.25">
      <c r="A60" s="5" t="s">
        <v>66</v>
      </c>
      <c r="B60" s="20" t="s">
        <v>96</v>
      </c>
      <c r="C60" s="4" t="s">
        <v>18</v>
      </c>
      <c r="D60" s="5" t="s">
        <v>1</v>
      </c>
      <c r="E60" s="4" t="s">
        <v>5</v>
      </c>
      <c r="F60" s="6">
        <v>8</v>
      </c>
      <c r="G60" s="3"/>
    </row>
    <row r="61" spans="1:7" x14ac:dyDescent="0.25">
      <c r="A61" s="21" t="s">
        <v>90</v>
      </c>
      <c r="B61" s="22"/>
      <c r="C61" s="22"/>
      <c r="D61" s="22"/>
      <c r="E61" s="22"/>
      <c r="F61" s="22"/>
      <c r="G61" s="22"/>
    </row>
    <row r="62" spans="1:7" x14ac:dyDescent="0.25">
      <c r="A62" s="5" t="s">
        <v>67</v>
      </c>
      <c r="B62" s="18" t="s">
        <v>96</v>
      </c>
      <c r="C62" s="4" t="s">
        <v>19</v>
      </c>
      <c r="D62" s="5" t="s">
        <v>1</v>
      </c>
      <c r="E62" s="4" t="s">
        <v>2</v>
      </c>
      <c r="F62" s="6">
        <v>9</v>
      </c>
      <c r="G62" s="3">
        <f>F62+F63+F64+F65</f>
        <v>25</v>
      </c>
    </row>
    <row r="63" spans="1:7" x14ac:dyDescent="0.25">
      <c r="A63" s="5" t="s">
        <v>67</v>
      </c>
      <c r="B63" s="19" t="s">
        <v>96</v>
      </c>
      <c r="C63" s="4" t="s">
        <v>19</v>
      </c>
      <c r="D63" s="5" t="s">
        <v>1</v>
      </c>
      <c r="E63" s="4" t="s">
        <v>3</v>
      </c>
      <c r="F63" s="6">
        <v>3</v>
      </c>
      <c r="G63" s="3"/>
    </row>
    <row r="64" spans="1:7" x14ac:dyDescent="0.25">
      <c r="A64" s="5" t="s">
        <v>67</v>
      </c>
      <c r="B64" s="19" t="s">
        <v>96</v>
      </c>
      <c r="C64" s="4" t="s">
        <v>19</v>
      </c>
      <c r="D64" s="5" t="s">
        <v>1</v>
      </c>
      <c r="E64" s="4" t="s">
        <v>4</v>
      </c>
      <c r="F64" s="6">
        <v>3</v>
      </c>
      <c r="G64" s="3"/>
    </row>
    <row r="65" spans="1:7" x14ac:dyDescent="0.25">
      <c r="A65" s="5" t="s">
        <v>67</v>
      </c>
      <c r="B65" s="20" t="s">
        <v>96</v>
      </c>
      <c r="C65" s="4" t="s">
        <v>19</v>
      </c>
      <c r="D65" s="5" t="s">
        <v>1</v>
      </c>
      <c r="E65" s="4" t="s">
        <v>5</v>
      </c>
      <c r="F65" s="6">
        <v>10</v>
      </c>
      <c r="G65" s="3"/>
    </row>
    <row r="66" spans="1:7" x14ac:dyDescent="0.25">
      <c r="A66" s="21" t="s">
        <v>90</v>
      </c>
      <c r="B66" s="22"/>
      <c r="C66" s="22"/>
      <c r="D66" s="22"/>
      <c r="E66" s="22"/>
      <c r="F66" s="22"/>
      <c r="G66" s="22"/>
    </row>
    <row r="67" spans="1:7" x14ac:dyDescent="0.25">
      <c r="A67" s="5" t="s">
        <v>20</v>
      </c>
      <c r="B67" s="18" t="s">
        <v>97</v>
      </c>
      <c r="C67" s="4" t="s">
        <v>21</v>
      </c>
      <c r="D67" s="5" t="s">
        <v>1</v>
      </c>
      <c r="E67" s="4" t="s">
        <v>2</v>
      </c>
      <c r="F67" s="6">
        <v>16</v>
      </c>
      <c r="G67" s="3">
        <f>F67+F68+F69+F70</f>
        <v>24</v>
      </c>
    </row>
    <row r="68" spans="1:7" x14ac:dyDescent="0.25">
      <c r="A68" s="5" t="s">
        <v>20</v>
      </c>
      <c r="B68" s="19" t="s">
        <v>97</v>
      </c>
      <c r="C68" s="4" t="s">
        <v>21</v>
      </c>
      <c r="D68" s="5" t="s">
        <v>1</v>
      </c>
      <c r="E68" s="4" t="s">
        <v>3</v>
      </c>
      <c r="F68" s="6">
        <v>3</v>
      </c>
      <c r="G68" s="3"/>
    </row>
    <row r="69" spans="1:7" x14ac:dyDescent="0.25">
      <c r="A69" s="5" t="s">
        <v>20</v>
      </c>
      <c r="B69" s="19" t="s">
        <v>97</v>
      </c>
      <c r="C69" s="4" t="s">
        <v>21</v>
      </c>
      <c r="D69" s="5" t="s">
        <v>1</v>
      </c>
      <c r="E69" s="4" t="s">
        <v>4</v>
      </c>
      <c r="F69" s="6">
        <v>3</v>
      </c>
      <c r="G69" s="3"/>
    </row>
    <row r="70" spans="1:7" x14ac:dyDescent="0.25">
      <c r="A70" s="5" t="s">
        <v>20</v>
      </c>
      <c r="B70" s="20" t="s">
        <v>97</v>
      </c>
      <c r="C70" s="4" t="s">
        <v>21</v>
      </c>
      <c r="D70" s="5" t="s">
        <v>1</v>
      </c>
      <c r="E70" s="4" t="s">
        <v>5</v>
      </c>
      <c r="F70" s="6">
        <v>2</v>
      </c>
      <c r="G70" s="3"/>
    </row>
    <row r="71" spans="1:7" x14ac:dyDescent="0.25">
      <c r="A71" s="21" t="s">
        <v>90</v>
      </c>
      <c r="B71" s="22"/>
      <c r="C71" s="22"/>
      <c r="D71" s="22"/>
      <c r="E71" s="22"/>
      <c r="F71" s="22"/>
      <c r="G71" s="22"/>
    </row>
    <row r="72" spans="1:7" x14ac:dyDescent="0.25">
      <c r="A72" s="5" t="s">
        <v>22</v>
      </c>
      <c r="B72" s="18" t="s">
        <v>98</v>
      </c>
      <c r="C72" s="4" t="s">
        <v>23</v>
      </c>
      <c r="D72" s="5" t="s">
        <v>1</v>
      </c>
      <c r="E72" s="4" t="s">
        <v>2</v>
      </c>
      <c r="F72" s="6">
        <v>20</v>
      </c>
      <c r="G72" s="3">
        <f>F72+F73+F74+F75+F76</f>
        <v>35</v>
      </c>
    </row>
    <row r="73" spans="1:7" x14ac:dyDescent="0.25">
      <c r="A73" s="5" t="s">
        <v>22</v>
      </c>
      <c r="B73" s="19" t="s">
        <v>98</v>
      </c>
      <c r="C73" s="4" t="s">
        <v>23</v>
      </c>
      <c r="D73" s="5" t="s">
        <v>1</v>
      </c>
      <c r="E73" s="4" t="s">
        <v>3</v>
      </c>
      <c r="F73" s="6">
        <v>4</v>
      </c>
      <c r="G73" s="3"/>
    </row>
    <row r="74" spans="1:7" x14ac:dyDescent="0.25">
      <c r="A74" s="5" t="s">
        <v>22</v>
      </c>
      <c r="B74" s="19" t="s">
        <v>98</v>
      </c>
      <c r="C74" s="4" t="s">
        <v>23</v>
      </c>
      <c r="D74" s="5" t="s">
        <v>1</v>
      </c>
      <c r="E74" s="4" t="s">
        <v>4</v>
      </c>
      <c r="F74" s="6">
        <v>4</v>
      </c>
      <c r="G74" s="3"/>
    </row>
    <row r="75" spans="1:7" x14ac:dyDescent="0.25">
      <c r="A75" s="5" t="s">
        <v>68</v>
      </c>
      <c r="B75" s="19" t="s">
        <v>98</v>
      </c>
      <c r="C75" s="4" t="s">
        <v>24</v>
      </c>
      <c r="D75" s="5" t="s">
        <v>1</v>
      </c>
      <c r="E75" s="4" t="s">
        <v>5</v>
      </c>
      <c r="F75" s="6">
        <v>3</v>
      </c>
      <c r="G75" s="3"/>
    </row>
    <row r="76" spans="1:7" x14ac:dyDescent="0.25">
      <c r="A76" s="5" t="s">
        <v>69</v>
      </c>
      <c r="B76" s="20" t="s">
        <v>98</v>
      </c>
      <c r="C76" s="4" t="s">
        <v>25</v>
      </c>
      <c r="D76" s="5" t="s">
        <v>1</v>
      </c>
      <c r="E76" s="4" t="s">
        <v>5</v>
      </c>
      <c r="F76" s="6">
        <v>4</v>
      </c>
      <c r="G76" s="3"/>
    </row>
    <row r="77" spans="1:7" x14ac:dyDescent="0.25">
      <c r="A77" s="21" t="s">
        <v>90</v>
      </c>
      <c r="B77" s="22"/>
      <c r="C77" s="22"/>
      <c r="D77" s="22"/>
      <c r="E77" s="22"/>
      <c r="F77" s="22"/>
      <c r="G77" s="22"/>
    </row>
    <row r="78" spans="1:7" x14ac:dyDescent="0.25">
      <c r="A78" s="5" t="s">
        <v>26</v>
      </c>
      <c r="B78" s="18" t="s">
        <v>98</v>
      </c>
      <c r="C78" s="4" t="s">
        <v>27</v>
      </c>
      <c r="D78" s="5" t="s">
        <v>1</v>
      </c>
      <c r="E78" s="4" t="s">
        <v>2</v>
      </c>
      <c r="F78" s="6">
        <v>51</v>
      </c>
      <c r="G78" s="3">
        <f>F78+F79+F80+F81+F82+F83</f>
        <v>112</v>
      </c>
    </row>
    <row r="79" spans="1:7" x14ac:dyDescent="0.25">
      <c r="A79" s="5" t="s">
        <v>26</v>
      </c>
      <c r="B79" s="19" t="s">
        <v>98</v>
      </c>
      <c r="C79" s="4" t="s">
        <v>27</v>
      </c>
      <c r="D79" s="5" t="s">
        <v>1</v>
      </c>
      <c r="E79" s="4" t="s">
        <v>3</v>
      </c>
      <c r="F79" s="6">
        <v>12</v>
      </c>
      <c r="G79" s="3"/>
    </row>
    <row r="80" spans="1:7" x14ac:dyDescent="0.25">
      <c r="A80" s="5" t="s">
        <v>26</v>
      </c>
      <c r="B80" s="19" t="s">
        <v>98</v>
      </c>
      <c r="C80" s="4" t="s">
        <v>27</v>
      </c>
      <c r="D80" s="5" t="s">
        <v>1</v>
      </c>
      <c r="E80" s="4" t="s">
        <v>4</v>
      </c>
      <c r="F80" s="6">
        <v>12</v>
      </c>
      <c r="G80" s="3"/>
    </row>
    <row r="81" spans="1:7" x14ac:dyDescent="0.25">
      <c r="A81" s="5" t="s">
        <v>70</v>
      </c>
      <c r="B81" s="19" t="s">
        <v>98</v>
      </c>
      <c r="C81" s="4" t="s">
        <v>28</v>
      </c>
      <c r="D81" s="5" t="s">
        <v>1</v>
      </c>
      <c r="E81" s="4" t="s">
        <v>5</v>
      </c>
      <c r="F81" s="6">
        <v>10</v>
      </c>
      <c r="G81" s="3"/>
    </row>
    <row r="82" spans="1:7" x14ac:dyDescent="0.25">
      <c r="A82" s="5" t="s">
        <v>71</v>
      </c>
      <c r="B82" s="19" t="s">
        <v>98</v>
      </c>
      <c r="C82" s="4" t="s">
        <v>29</v>
      </c>
      <c r="D82" s="5" t="s">
        <v>1</v>
      </c>
      <c r="E82" s="4" t="s">
        <v>5</v>
      </c>
      <c r="F82" s="6">
        <v>15</v>
      </c>
      <c r="G82" s="3"/>
    </row>
    <row r="83" spans="1:7" x14ac:dyDescent="0.25">
      <c r="A83" s="5" t="s">
        <v>72</v>
      </c>
      <c r="B83" s="20" t="s">
        <v>98</v>
      </c>
      <c r="C83" s="4" t="s">
        <v>30</v>
      </c>
      <c r="D83" s="5" t="s">
        <v>1</v>
      </c>
      <c r="E83" s="4" t="s">
        <v>5</v>
      </c>
      <c r="F83" s="6">
        <v>12</v>
      </c>
      <c r="G83" s="3"/>
    </row>
    <row r="84" spans="1:7" x14ac:dyDescent="0.25">
      <c r="A84" s="21" t="s">
        <v>90</v>
      </c>
      <c r="B84" s="22"/>
      <c r="C84" s="22"/>
      <c r="D84" s="22"/>
      <c r="E84" s="22"/>
      <c r="F84" s="22"/>
      <c r="G84" s="22"/>
    </row>
    <row r="85" spans="1:7" x14ac:dyDescent="0.25">
      <c r="A85" s="5" t="s">
        <v>31</v>
      </c>
      <c r="B85" s="18" t="s">
        <v>103</v>
      </c>
      <c r="C85" s="4" t="s">
        <v>32</v>
      </c>
      <c r="D85" s="5" t="s">
        <v>1</v>
      </c>
      <c r="E85" s="4" t="s">
        <v>2</v>
      </c>
      <c r="F85" s="6">
        <v>0</v>
      </c>
      <c r="G85" s="3">
        <f>F85+F86+F87+F88</f>
        <v>3</v>
      </c>
    </row>
    <row r="86" spans="1:7" x14ac:dyDescent="0.25">
      <c r="A86" s="5" t="s">
        <v>31</v>
      </c>
      <c r="B86" s="19" t="s">
        <v>103</v>
      </c>
      <c r="C86" s="4" t="s">
        <v>32</v>
      </c>
      <c r="D86" s="5" t="s">
        <v>1</v>
      </c>
      <c r="E86" s="4" t="s">
        <v>3</v>
      </c>
      <c r="F86" s="6">
        <v>1</v>
      </c>
      <c r="G86" s="3"/>
    </row>
    <row r="87" spans="1:7" x14ac:dyDescent="0.25">
      <c r="A87" s="5" t="s">
        <v>31</v>
      </c>
      <c r="B87" s="19" t="s">
        <v>103</v>
      </c>
      <c r="C87" s="4" t="s">
        <v>32</v>
      </c>
      <c r="D87" s="5" t="s">
        <v>1</v>
      </c>
      <c r="E87" s="4" t="s">
        <v>4</v>
      </c>
      <c r="F87" s="6">
        <v>1</v>
      </c>
      <c r="G87" s="3"/>
    </row>
    <row r="88" spans="1:7" x14ac:dyDescent="0.25">
      <c r="A88" s="5" t="s">
        <v>31</v>
      </c>
      <c r="B88" s="20" t="s">
        <v>103</v>
      </c>
      <c r="C88" s="4" t="s">
        <v>32</v>
      </c>
      <c r="D88" s="5" t="s">
        <v>1</v>
      </c>
      <c r="E88" s="4" t="s">
        <v>5</v>
      </c>
      <c r="F88" s="6">
        <v>1</v>
      </c>
      <c r="G88" s="3"/>
    </row>
    <row r="89" spans="1:7" x14ac:dyDescent="0.25">
      <c r="A89" s="21" t="s">
        <v>90</v>
      </c>
      <c r="B89" s="22"/>
      <c r="C89" s="22"/>
      <c r="D89" s="22"/>
      <c r="E89" s="22"/>
      <c r="F89" s="22"/>
      <c r="G89" s="22"/>
    </row>
    <row r="90" spans="1:7" x14ac:dyDescent="0.25">
      <c r="A90" s="5" t="s">
        <v>33</v>
      </c>
      <c r="B90" s="18" t="s">
        <v>103</v>
      </c>
      <c r="C90" s="4" t="s">
        <v>34</v>
      </c>
      <c r="D90" s="5" t="s">
        <v>1</v>
      </c>
      <c r="E90" s="4" t="s">
        <v>2</v>
      </c>
      <c r="F90" s="6">
        <v>1</v>
      </c>
      <c r="G90" s="3">
        <f>F90+F91+F92+F93</f>
        <v>3</v>
      </c>
    </row>
    <row r="91" spans="1:7" x14ac:dyDescent="0.25">
      <c r="A91" s="5" t="s">
        <v>33</v>
      </c>
      <c r="B91" s="19" t="s">
        <v>103</v>
      </c>
      <c r="C91" s="4" t="s">
        <v>34</v>
      </c>
      <c r="D91" s="5" t="s">
        <v>1</v>
      </c>
      <c r="E91" s="4" t="s">
        <v>3</v>
      </c>
      <c r="F91" s="6">
        <v>1</v>
      </c>
      <c r="G91" s="3"/>
    </row>
    <row r="92" spans="1:7" x14ac:dyDescent="0.25">
      <c r="A92" s="5" t="s">
        <v>33</v>
      </c>
      <c r="B92" s="19" t="s">
        <v>103</v>
      </c>
      <c r="C92" s="4" t="s">
        <v>34</v>
      </c>
      <c r="D92" s="5" t="s">
        <v>1</v>
      </c>
      <c r="E92" s="4" t="s">
        <v>4</v>
      </c>
      <c r="F92" s="6">
        <v>1</v>
      </c>
      <c r="G92" s="3"/>
    </row>
    <row r="93" spans="1:7" x14ac:dyDescent="0.25">
      <c r="A93" s="5" t="s">
        <v>33</v>
      </c>
      <c r="B93" s="20" t="s">
        <v>103</v>
      </c>
      <c r="C93" s="4" t="s">
        <v>34</v>
      </c>
      <c r="D93" s="5" t="s">
        <v>1</v>
      </c>
      <c r="E93" s="4" t="s">
        <v>5</v>
      </c>
      <c r="F93" s="6">
        <v>0</v>
      </c>
      <c r="G93" s="3"/>
    </row>
    <row r="94" spans="1:7" x14ac:dyDescent="0.25">
      <c r="A94" s="21" t="s">
        <v>90</v>
      </c>
      <c r="B94" s="22"/>
      <c r="C94" s="22"/>
      <c r="D94" s="22"/>
      <c r="E94" s="22"/>
      <c r="F94" s="22"/>
      <c r="G94" s="22"/>
    </row>
    <row r="95" spans="1:7" x14ac:dyDescent="0.25">
      <c r="A95" s="5" t="s">
        <v>33</v>
      </c>
      <c r="B95" s="18" t="s">
        <v>99</v>
      </c>
      <c r="C95" s="4" t="s">
        <v>35</v>
      </c>
      <c r="D95" s="5" t="s">
        <v>1</v>
      </c>
      <c r="E95" s="4" t="s">
        <v>2</v>
      </c>
      <c r="F95" s="6">
        <v>2</v>
      </c>
      <c r="G95" s="3">
        <f>F95+F96+F97+F98</f>
        <v>5</v>
      </c>
    </row>
    <row r="96" spans="1:7" x14ac:dyDescent="0.25">
      <c r="A96" s="5" t="s">
        <v>33</v>
      </c>
      <c r="B96" s="19" t="s">
        <v>99</v>
      </c>
      <c r="C96" s="4" t="s">
        <v>35</v>
      </c>
      <c r="D96" s="5" t="s">
        <v>1</v>
      </c>
      <c r="E96" s="4" t="s">
        <v>3</v>
      </c>
      <c r="F96" s="6">
        <v>1</v>
      </c>
      <c r="G96" s="3"/>
    </row>
    <row r="97" spans="1:7" x14ac:dyDescent="0.25">
      <c r="A97" s="5" t="s">
        <v>33</v>
      </c>
      <c r="B97" s="19" t="s">
        <v>99</v>
      </c>
      <c r="C97" s="4" t="s">
        <v>35</v>
      </c>
      <c r="D97" s="5" t="s">
        <v>1</v>
      </c>
      <c r="E97" s="4" t="s">
        <v>4</v>
      </c>
      <c r="F97" s="6">
        <v>1</v>
      </c>
      <c r="G97" s="3"/>
    </row>
    <row r="98" spans="1:7" x14ac:dyDescent="0.25">
      <c r="A98" s="5" t="s">
        <v>33</v>
      </c>
      <c r="B98" s="20" t="s">
        <v>99</v>
      </c>
      <c r="C98" s="4" t="s">
        <v>35</v>
      </c>
      <c r="D98" s="5" t="s">
        <v>1</v>
      </c>
      <c r="E98" s="4" t="s">
        <v>5</v>
      </c>
      <c r="F98" s="6">
        <v>1</v>
      </c>
      <c r="G98" s="3"/>
    </row>
    <row r="99" spans="1:7" x14ac:dyDescent="0.25">
      <c r="A99" s="21" t="s">
        <v>90</v>
      </c>
      <c r="B99" s="22"/>
      <c r="C99" s="22"/>
      <c r="D99" s="22"/>
      <c r="E99" s="22"/>
      <c r="F99" s="22"/>
      <c r="G99" s="22"/>
    </row>
    <row r="100" spans="1:7" x14ac:dyDescent="0.25">
      <c r="A100" s="5" t="s">
        <v>36</v>
      </c>
      <c r="B100" s="18" t="s">
        <v>100</v>
      </c>
      <c r="C100" s="4" t="s">
        <v>37</v>
      </c>
      <c r="D100" s="5" t="s">
        <v>1</v>
      </c>
      <c r="E100" s="4" t="s">
        <v>2</v>
      </c>
      <c r="F100" s="6">
        <v>10</v>
      </c>
      <c r="G100" s="3">
        <f>F100+F101+F102+F103</f>
        <v>15</v>
      </c>
    </row>
    <row r="101" spans="1:7" x14ac:dyDescent="0.25">
      <c r="A101" s="5" t="s">
        <v>36</v>
      </c>
      <c r="B101" s="19" t="s">
        <v>100</v>
      </c>
      <c r="C101" s="4" t="s">
        <v>37</v>
      </c>
      <c r="D101" s="5" t="s">
        <v>1</v>
      </c>
      <c r="E101" s="4" t="s">
        <v>3</v>
      </c>
      <c r="F101" s="6">
        <v>2</v>
      </c>
      <c r="G101" s="3"/>
    </row>
    <row r="102" spans="1:7" x14ac:dyDescent="0.25">
      <c r="A102" s="5" t="s">
        <v>36</v>
      </c>
      <c r="B102" s="19" t="s">
        <v>100</v>
      </c>
      <c r="C102" s="4" t="s">
        <v>37</v>
      </c>
      <c r="D102" s="5" t="s">
        <v>1</v>
      </c>
      <c r="E102" s="4" t="s">
        <v>4</v>
      </c>
      <c r="F102" s="6">
        <v>2</v>
      </c>
      <c r="G102" s="3"/>
    </row>
    <row r="103" spans="1:7" x14ac:dyDescent="0.25">
      <c r="A103" s="5" t="s">
        <v>36</v>
      </c>
      <c r="B103" s="20" t="s">
        <v>100</v>
      </c>
      <c r="C103" s="4" t="s">
        <v>37</v>
      </c>
      <c r="D103" s="5" t="s">
        <v>1</v>
      </c>
      <c r="E103" s="4" t="s">
        <v>5</v>
      </c>
      <c r="F103" s="6">
        <v>1</v>
      </c>
      <c r="G103" s="3"/>
    </row>
    <row r="104" spans="1:7" x14ac:dyDescent="0.25">
      <c r="A104" s="21" t="s">
        <v>90</v>
      </c>
      <c r="B104" s="22"/>
      <c r="C104" s="22"/>
      <c r="D104" s="22"/>
      <c r="E104" s="22"/>
      <c r="F104" s="22"/>
      <c r="G104" s="22"/>
    </row>
    <row r="105" spans="1:7" x14ac:dyDescent="0.25">
      <c r="A105" s="5" t="s">
        <v>38</v>
      </c>
      <c r="B105" s="18" t="s">
        <v>100</v>
      </c>
      <c r="C105" s="4" t="s">
        <v>39</v>
      </c>
      <c r="D105" s="5" t="s">
        <v>1</v>
      </c>
      <c r="E105" s="4" t="s">
        <v>2</v>
      </c>
      <c r="F105" s="6">
        <v>8</v>
      </c>
      <c r="G105" s="3">
        <f>F105+F106+F107+F108</f>
        <v>14</v>
      </c>
    </row>
    <row r="106" spans="1:7" x14ac:dyDescent="0.25">
      <c r="A106" s="5" t="s">
        <v>38</v>
      </c>
      <c r="B106" s="19" t="s">
        <v>100</v>
      </c>
      <c r="C106" s="4" t="s">
        <v>39</v>
      </c>
      <c r="D106" s="5" t="s">
        <v>1</v>
      </c>
      <c r="E106" s="4" t="s">
        <v>3</v>
      </c>
      <c r="F106" s="6">
        <v>2</v>
      </c>
      <c r="G106" s="3"/>
    </row>
    <row r="107" spans="1:7" x14ac:dyDescent="0.25">
      <c r="A107" s="5" t="s">
        <v>38</v>
      </c>
      <c r="B107" s="19" t="s">
        <v>100</v>
      </c>
      <c r="C107" s="4" t="s">
        <v>39</v>
      </c>
      <c r="D107" s="5" t="s">
        <v>1</v>
      </c>
      <c r="E107" s="4" t="s">
        <v>4</v>
      </c>
      <c r="F107" s="6">
        <v>2</v>
      </c>
      <c r="G107" s="3"/>
    </row>
    <row r="108" spans="1:7" x14ac:dyDescent="0.25">
      <c r="A108" s="5" t="s">
        <v>38</v>
      </c>
      <c r="B108" s="20" t="s">
        <v>100</v>
      </c>
      <c r="C108" s="4" t="s">
        <v>39</v>
      </c>
      <c r="D108" s="5" t="s">
        <v>1</v>
      </c>
      <c r="E108" s="4" t="s">
        <v>5</v>
      </c>
      <c r="F108" s="6">
        <v>2</v>
      </c>
      <c r="G108" s="3"/>
    </row>
    <row r="109" spans="1:7" x14ac:dyDescent="0.25">
      <c r="A109" s="21" t="s">
        <v>90</v>
      </c>
      <c r="B109" s="22"/>
      <c r="C109" s="22"/>
      <c r="D109" s="22"/>
      <c r="E109" s="22"/>
      <c r="F109" s="22"/>
      <c r="G109" s="22"/>
    </row>
    <row r="110" spans="1:7" x14ac:dyDescent="0.25">
      <c r="A110" s="5" t="s">
        <v>40</v>
      </c>
      <c r="B110" s="18" t="s">
        <v>100</v>
      </c>
      <c r="C110" s="4" t="s">
        <v>41</v>
      </c>
      <c r="D110" s="5" t="s">
        <v>1</v>
      </c>
      <c r="E110" s="4" t="s">
        <v>2</v>
      </c>
      <c r="F110" s="6">
        <v>8</v>
      </c>
      <c r="G110" s="3">
        <f>F110+F111+F112+F113</f>
        <v>14</v>
      </c>
    </row>
    <row r="111" spans="1:7" x14ac:dyDescent="0.25">
      <c r="A111" s="5" t="s">
        <v>40</v>
      </c>
      <c r="B111" s="19" t="s">
        <v>100</v>
      </c>
      <c r="C111" s="4" t="s">
        <v>41</v>
      </c>
      <c r="D111" s="5" t="s">
        <v>1</v>
      </c>
      <c r="E111" s="4" t="s">
        <v>3</v>
      </c>
      <c r="F111" s="6">
        <v>2</v>
      </c>
      <c r="G111" s="3"/>
    </row>
    <row r="112" spans="1:7" x14ac:dyDescent="0.25">
      <c r="A112" s="5" t="s">
        <v>40</v>
      </c>
      <c r="B112" s="19" t="s">
        <v>100</v>
      </c>
      <c r="C112" s="4" t="s">
        <v>41</v>
      </c>
      <c r="D112" s="5" t="s">
        <v>1</v>
      </c>
      <c r="E112" s="4" t="s">
        <v>4</v>
      </c>
      <c r="F112" s="6">
        <v>2</v>
      </c>
      <c r="G112" s="3"/>
    </row>
    <row r="113" spans="1:7" x14ac:dyDescent="0.25">
      <c r="A113" s="5" t="s">
        <v>40</v>
      </c>
      <c r="B113" s="20" t="s">
        <v>100</v>
      </c>
      <c r="C113" s="4" t="s">
        <v>41</v>
      </c>
      <c r="D113" s="5" t="s">
        <v>1</v>
      </c>
      <c r="E113" s="4" t="s">
        <v>5</v>
      </c>
      <c r="F113" s="6">
        <v>2</v>
      </c>
      <c r="G113" s="3"/>
    </row>
    <row r="114" spans="1:7" x14ac:dyDescent="0.25">
      <c r="A114" s="21" t="s">
        <v>90</v>
      </c>
      <c r="B114" s="22"/>
      <c r="C114" s="22"/>
      <c r="D114" s="22"/>
      <c r="E114" s="22"/>
      <c r="F114" s="22"/>
      <c r="G114" s="22"/>
    </row>
    <row r="115" spans="1:7" x14ac:dyDescent="0.25">
      <c r="A115" s="5" t="s">
        <v>40</v>
      </c>
      <c r="B115" s="18" t="s">
        <v>100</v>
      </c>
      <c r="C115" s="4" t="s">
        <v>41</v>
      </c>
      <c r="D115" s="5" t="s">
        <v>42</v>
      </c>
      <c r="E115" s="4" t="s">
        <v>2</v>
      </c>
      <c r="F115" s="6">
        <v>9</v>
      </c>
      <c r="G115" s="3">
        <f>F115+F116+F117+F118</f>
        <v>15</v>
      </c>
    </row>
    <row r="116" spans="1:7" x14ac:dyDescent="0.25">
      <c r="A116" s="5" t="s">
        <v>40</v>
      </c>
      <c r="B116" s="19" t="s">
        <v>100</v>
      </c>
      <c r="C116" s="4" t="s">
        <v>41</v>
      </c>
      <c r="D116" s="5" t="s">
        <v>42</v>
      </c>
      <c r="E116" s="4" t="s">
        <v>3</v>
      </c>
      <c r="F116" s="6">
        <v>2</v>
      </c>
      <c r="G116" s="3"/>
    </row>
    <row r="117" spans="1:7" x14ac:dyDescent="0.25">
      <c r="A117" s="5" t="s">
        <v>40</v>
      </c>
      <c r="B117" s="19" t="s">
        <v>100</v>
      </c>
      <c r="C117" s="4" t="s">
        <v>41</v>
      </c>
      <c r="D117" s="5" t="s">
        <v>42</v>
      </c>
      <c r="E117" s="4" t="s">
        <v>4</v>
      </c>
      <c r="F117" s="6">
        <v>2</v>
      </c>
      <c r="G117" s="3"/>
    </row>
    <row r="118" spans="1:7" x14ac:dyDescent="0.25">
      <c r="A118" s="5" t="s">
        <v>40</v>
      </c>
      <c r="B118" s="20" t="s">
        <v>100</v>
      </c>
      <c r="C118" s="4" t="s">
        <v>41</v>
      </c>
      <c r="D118" s="5" t="s">
        <v>42</v>
      </c>
      <c r="E118" s="4" t="s">
        <v>5</v>
      </c>
      <c r="F118" s="6">
        <v>2</v>
      </c>
      <c r="G118" s="3"/>
    </row>
    <row r="119" spans="1:7" x14ac:dyDescent="0.25">
      <c r="A119" s="21" t="s">
        <v>90</v>
      </c>
      <c r="B119" s="22"/>
      <c r="C119" s="22"/>
      <c r="D119" s="22"/>
      <c r="E119" s="22"/>
      <c r="F119" s="22"/>
      <c r="G119" s="22"/>
    </row>
    <row r="120" spans="1:7" x14ac:dyDescent="0.25">
      <c r="A120" s="5" t="s">
        <v>43</v>
      </c>
      <c r="B120" s="18" t="s">
        <v>100</v>
      </c>
      <c r="C120" s="4" t="s">
        <v>44</v>
      </c>
      <c r="D120" s="5" t="s">
        <v>1</v>
      </c>
      <c r="E120" s="4" t="s">
        <v>2</v>
      </c>
      <c r="F120" s="6">
        <v>9</v>
      </c>
      <c r="G120" s="3">
        <f>F120+F121+F122+F123</f>
        <v>15</v>
      </c>
    </row>
    <row r="121" spans="1:7" x14ac:dyDescent="0.25">
      <c r="A121" s="5" t="s">
        <v>43</v>
      </c>
      <c r="B121" s="19" t="s">
        <v>100</v>
      </c>
      <c r="C121" s="4" t="s">
        <v>44</v>
      </c>
      <c r="D121" s="5" t="s">
        <v>1</v>
      </c>
      <c r="E121" s="4" t="s">
        <v>3</v>
      </c>
      <c r="F121" s="6">
        <v>2</v>
      </c>
      <c r="G121" s="3"/>
    </row>
    <row r="122" spans="1:7" x14ac:dyDescent="0.25">
      <c r="A122" s="5" t="s">
        <v>43</v>
      </c>
      <c r="B122" s="19" t="s">
        <v>100</v>
      </c>
      <c r="C122" s="4" t="s">
        <v>44</v>
      </c>
      <c r="D122" s="5" t="s">
        <v>1</v>
      </c>
      <c r="E122" s="4" t="s">
        <v>4</v>
      </c>
      <c r="F122" s="6">
        <v>2</v>
      </c>
      <c r="G122" s="3"/>
    </row>
    <row r="123" spans="1:7" x14ac:dyDescent="0.25">
      <c r="A123" s="5" t="s">
        <v>43</v>
      </c>
      <c r="B123" s="20" t="s">
        <v>100</v>
      </c>
      <c r="C123" s="4" t="s">
        <v>44</v>
      </c>
      <c r="D123" s="5" t="s">
        <v>1</v>
      </c>
      <c r="E123" s="4" t="s">
        <v>5</v>
      </c>
      <c r="F123" s="6">
        <v>2</v>
      </c>
      <c r="G123" s="3"/>
    </row>
    <row r="124" spans="1:7" x14ac:dyDescent="0.25">
      <c r="A124" s="21" t="s">
        <v>90</v>
      </c>
      <c r="B124" s="22"/>
      <c r="C124" s="22"/>
      <c r="D124" s="22"/>
      <c r="E124" s="22"/>
      <c r="F124" s="22"/>
      <c r="G124" s="22"/>
    </row>
    <row r="125" spans="1:7" x14ac:dyDescent="0.25">
      <c r="A125" s="5" t="s">
        <v>45</v>
      </c>
      <c r="B125" s="18" t="s">
        <v>100</v>
      </c>
      <c r="C125" s="4" t="s">
        <v>46</v>
      </c>
      <c r="D125" s="5" t="s">
        <v>1</v>
      </c>
      <c r="E125" s="4" t="s">
        <v>2</v>
      </c>
      <c r="F125" s="6">
        <v>9</v>
      </c>
      <c r="G125" s="3">
        <f>F125+F126+F127+F128</f>
        <v>14</v>
      </c>
    </row>
    <row r="126" spans="1:7" x14ac:dyDescent="0.25">
      <c r="A126" s="5" t="s">
        <v>45</v>
      </c>
      <c r="B126" s="19" t="s">
        <v>100</v>
      </c>
      <c r="C126" s="4" t="s">
        <v>46</v>
      </c>
      <c r="D126" s="5" t="s">
        <v>1</v>
      </c>
      <c r="E126" s="4" t="s">
        <v>3</v>
      </c>
      <c r="F126" s="6">
        <v>2</v>
      </c>
      <c r="G126" s="3"/>
    </row>
    <row r="127" spans="1:7" x14ac:dyDescent="0.25">
      <c r="A127" s="5" t="s">
        <v>45</v>
      </c>
      <c r="B127" s="19" t="s">
        <v>100</v>
      </c>
      <c r="C127" s="4" t="s">
        <v>46</v>
      </c>
      <c r="D127" s="5" t="s">
        <v>1</v>
      </c>
      <c r="E127" s="4" t="s">
        <v>4</v>
      </c>
      <c r="F127" s="6">
        <v>2</v>
      </c>
      <c r="G127" s="3"/>
    </row>
    <row r="128" spans="1:7" x14ac:dyDescent="0.25">
      <c r="A128" s="5" t="s">
        <v>45</v>
      </c>
      <c r="B128" s="20" t="s">
        <v>100</v>
      </c>
      <c r="C128" s="4" t="s">
        <v>46</v>
      </c>
      <c r="D128" s="5" t="s">
        <v>1</v>
      </c>
      <c r="E128" s="4" t="s">
        <v>5</v>
      </c>
      <c r="F128" s="6">
        <v>1</v>
      </c>
      <c r="G128" s="3"/>
    </row>
    <row r="129" spans="1:7" x14ac:dyDescent="0.25">
      <c r="A129" s="21" t="s">
        <v>90</v>
      </c>
      <c r="B129" s="22"/>
      <c r="C129" s="22"/>
      <c r="D129" s="22"/>
      <c r="E129" s="22"/>
      <c r="F129" s="22"/>
      <c r="G129" s="22"/>
    </row>
    <row r="130" spans="1:7" x14ac:dyDescent="0.25">
      <c r="A130" s="5" t="s">
        <v>47</v>
      </c>
      <c r="B130" s="18" t="s">
        <v>101</v>
      </c>
      <c r="C130" s="4" t="s">
        <v>48</v>
      </c>
      <c r="D130" s="5" t="s">
        <v>1</v>
      </c>
      <c r="E130" s="4" t="s">
        <v>2</v>
      </c>
      <c r="F130" s="6">
        <v>3</v>
      </c>
      <c r="G130" s="3">
        <f>F130+F131+F132+F133</f>
        <v>7</v>
      </c>
    </row>
    <row r="131" spans="1:7" x14ac:dyDescent="0.25">
      <c r="A131" s="5" t="s">
        <v>47</v>
      </c>
      <c r="B131" s="19" t="s">
        <v>101</v>
      </c>
      <c r="C131" s="4" t="s">
        <v>48</v>
      </c>
      <c r="D131" s="5" t="s">
        <v>1</v>
      </c>
      <c r="E131" s="4" t="s">
        <v>3</v>
      </c>
      <c r="F131" s="6">
        <v>1</v>
      </c>
      <c r="G131" s="3"/>
    </row>
    <row r="132" spans="1:7" x14ac:dyDescent="0.25">
      <c r="A132" s="5" t="s">
        <v>47</v>
      </c>
      <c r="B132" s="19" t="s">
        <v>101</v>
      </c>
      <c r="C132" s="4" t="s">
        <v>48</v>
      </c>
      <c r="D132" s="5" t="s">
        <v>1</v>
      </c>
      <c r="E132" s="4" t="s">
        <v>4</v>
      </c>
      <c r="F132" s="6">
        <v>1</v>
      </c>
      <c r="G132" s="3"/>
    </row>
    <row r="133" spans="1:7" x14ac:dyDescent="0.25">
      <c r="A133" s="5" t="s">
        <v>47</v>
      </c>
      <c r="B133" s="20" t="s">
        <v>101</v>
      </c>
      <c r="C133" s="4" t="s">
        <v>48</v>
      </c>
      <c r="D133" s="5" t="s">
        <v>1</v>
      </c>
      <c r="E133" s="4" t="s">
        <v>5</v>
      </c>
      <c r="F133" s="6">
        <v>2</v>
      </c>
      <c r="G133" s="3"/>
    </row>
    <row r="134" spans="1:7" x14ac:dyDescent="0.25">
      <c r="A134" s="21" t="s">
        <v>90</v>
      </c>
      <c r="B134" s="22"/>
      <c r="C134" s="22"/>
      <c r="D134" s="22"/>
      <c r="E134" s="22"/>
      <c r="F134" s="22"/>
      <c r="G134" s="22"/>
    </row>
    <row r="135" spans="1:7" x14ac:dyDescent="0.25">
      <c r="A135" s="5" t="s">
        <v>47</v>
      </c>
      <c r="B135" s="18" t="s">
        <v>101</v>
      </c>
      <c r="C135" s="4" t="s">
        <v>49</v>
      </c>
      <c r="D135" s="5" t="s">
        <v>1</v>
      </c>
      <c r="E135" s="4" t="s">
        <v>2</v>
      </c>
      <c r="F135" s="6">
        <v>4</v>
      </c>
      <c r="G135" s="3">
        <f>F135+F136+F137+F138</f>
        <v>7</v>
      </c>
    </row>
    <row r="136" spans="1:7" x14ac:dyDescent="0.25">
      <c r="A136" s="5" t="s">
        <v>47</v>
      </c>
      <c r="B136" s="19" t="s">
        <v>101</v>
      </c>
      <c r="C136" s="4" t="s">
        <v>49</v>
      </c>
      <c r="D136" s="5" t="s">
        <v>1</v>
      </c>
      <c r="E136" s="4" t="s">
        <v>3</v>
      </c>
      <c r="F136" s="6">
        <v>1</v>
      </c>
      <c r="G136" s="3"/>
    </row>
    <row r="137" spans="1:7" x14ac:dyDescent="0.25">
      <c r="A137" s="5" t="s">
        <v>47</v>
      </c>
      <c r="B137" s="19" t="s">
        <v>101</v>
      </c>
      <c r="C137" s="4" t="s">
        <v>49</v>
      </c>
      <c r="D137" s="5" t="s">
        <v>1</v>
      </c>
      <c r="E137" s="4" t="s">
        <v>4</v>
      </c>
      <c r="F137" s="6">
        <v>1</v>
      </c>
      <c r="G137" s="3"/>
    </row>
    <row r="138" spans="1:7" x14ac:dyDescent="0.25">
      <c r="A138" s="5" t="s">
        <v>47</v>
      </c>
      <c r="B138" s="20" t="s">
        <v>101</v>
      </c>
      <c r="C138" s="4" t="s">
        <v>49</v>
      </c>
      <c r="D138" s="5" t="s">
        <v>1</v>
      </c>
      <c r="E138" s="4" t="s">
        <v>5</v>
      </c>
      <c r="F138" s="6">
        <v>1</v>
      </c>
      <c r="G138" s="3"/>
    </row>
    <row r="139" spans="1:7" x14ac:dyDescent="0.25">
      <c r="A139" s="21" t="s">
        <v>90</v>
      </c>
      <c r="B139" s="22"/>
      <c r="C139" s="22"/>
      <c r="D139" s="22"/>
      <c r="E139" s="22"/>
      <c r="F139" s="22"/>
      <c r="G139" s="22"/>
    </row>
    <row r="140" spans="1:7" x14ac:dyDescent="0.25">
      <c r="A140" s="5" t="s">
        <v>47</v>
      </c>
      <c r="B140" s="18" t="s">
        <v>101</v>
      </c>
      <c r="C140" s="4" t="s">
        <v>50</v>
      </c>
      <c r="D140" s="5" t="s">
        <v>1</v>
      </c>
      <c r="E140" s="4" t="s">
        <v>2</v>
      </c>
      <c r="F140" s="6">
        <v>4</v>
      </c>
      <c r="G140" s="3">
        <f>F140+F141+F142+F143</f>
        <v>6</v>
      </c>
    </row>
    <row r="141" spans="1:7" x14ac:dyDescent="0.25">
      <c r="A141" s="5" t="s">
        <v>47</v>
      </c>
      <c r="B141" s="19" t="s">
        <v>101</v>
      </c>
      <c r="C141" s="4" t="s">
        <v>50</v>
      </c>
      <c r="D141" s="5" t="s">
        <v>1</v>
      </c>
      <c r="E141" s="4" t="s">
        <v>3</v>
      </c>
      <c r="F141" s="6">
        <v>1</v>
      </c>
      <c r="G141" s="3"/>
    </row>
    <row r="142" spans="1:7" x14ac:dyDescent="0.25">
      <c r="A142" s="5" t="s">
        <v>47</v>
      </c>
      <c r="B142" s="19" t="s">
        <v>101</v>
      </c>
      <c r="C142" s="4" t="s">
        <v>50</v>
      </c>
      <c r="D142" s="5" t="s">
        <v>1</v>
      </c>
      <c r="E142" s="4" t="s">
        <v>4</v>
      </c>
      <c r="F142" s="6">
        <v>1</v>
      </c>
      <c r="G142" s="3"/>
    </row>
    <row r="143" spans="1:7" x14ac:dyDescent="0.25">
      <c r="A143" s="5" t="s">
        <v>47</v>
      </c>
      <c r="B143" s="20" t="s">
        <v>101</v>
      </c>
      <c r="C143" s="4" t="s">
        <v>50</v>
      </c>
      <c r="D143" s="5" t="s">
        <v>1</v>
      </c>
      <c r="E143" s="4" t="s">
        <v>5</v>
      </c>
      <c r="F143" s="6">
        <v>0</v>
      </c>
      <c r="G143" s="3"/>
    </row>
    <row r="144" spans="1:7" x14ac:dyDescent="0.25">
      <c r="A144" s="21" t="s">
        <v>90</v>
      </c>
      <c r="B144" s="22"/>
      <c r="C144" s="22"/>
      <c r="D144" s="22"/>
      <c r="E144" s="22"/>
      <c r="F144" s="22"/>
      <c r="G144" s="22"/>
    </row>
    <row r="145" spans="1:7" x14ac:dyDescent="0.25">
      <c r="A145" s="5" t="s">
        <v>51</v>
      </c>
      <c r="B145" s="18" t="s">
        <v>101</v>
      </c>
      <c r="C145" s="4" t="s">
        <v>52</v>
      </c>
      <c r="D145" s="5" t="s">
        <v>1</v>
      </c>
      <c r="E145" s="4" t="s">
        <v>2</v>
      </c>
      <c r="F145" s="6">
        <v>4</v>
      </c>
      <c r="G145" s="3">
        <f>F145+F146+F147+F148</f>
        <v>7</v>
      </c>
    </row>
    <row r="146" spans="1:7" x14ac:dyDescent="0.25">
      <c r="A146" s="5" t="s">
        <v>51</v>
      </c>
      <c r="B146" s="19" t="s">
        <v>101</v>
      </c>
      <c r="C146" s="4" t="s">
        <v>52</v>
      </c>
      <c r="D146" s="5" t="s">
        <v>1</v>
      </c>
      <c r="E146" s="4" t="s">
        <v>3</v>
      </c>
      <c r="F146" s="6">
        <v>1</v>
      </c>
      <c r="G146" s="3"/>
    </row>
    <row r="147" spans="1:7" x14ac:dyDescent="0.25">
      <c r="A147" s="5" t="s">
        <v>51</v>
      </c>
      <c r="B147" s="19" t="s">
        <v>101</v>
      </c>
      <c r="C147" s="4" t="s">
        <v>52</v>
      </c>
      <c r="D147" s="5" t="s">
        <v>1</v>
      </c>
      <c r="E147" s="4" t="s">
        <v>4</v>
      </c>
      <c r="F147" s="6">
        <v>1</v>
      </c>
      <c r="G147" s="3"/>
    </row>
    <row r="148" spans="1:7" x14ac:dyDescent="0.25">
      <c r="A148" s="5" t="s">
        <v>51</v>
      </c>
      <c r="B148" s="20" t="s">
        <v>101</v>
      </c>
      <c r="C148" s="4" t="s">
        <v>52</v>
      </c>
      <c r="D148" s="5" t="s">
        <v>1</v>
      </c>
      <c r="E148" s="4" t="s">
        <v>5</v>
      </c>
      <c r="F148" s="6">
        <v>1</v>
      </c>
      <c r="G148" s="3"/>
    </row>
    <row r="149" spans="1:7" x14ac:dyDescent="0.25">
      <c r="A149" s="21" t="s">
        <v>90</v>
      </c>
      <c r="B149" s="22"/>
      <c r="C149" s="22"/>
      <c r="D149" s="22"/>
      <c r="E149" s="22"/>
      <c r="F149" s="22"/>
      <c r="G149" s="22"/>
    </row>
    <row r="150" spans="1:7" x14ac:dyDescent="0.25">
      <c r="A150" s="5" t="s">
        <v>51</v>
      </c>
      <c r="B150" s="18" t="s">
        <v>101</v>
      </c>
      <c r="C150" s="4" t="s">
        <v>53</v>
      </c>
      <c r="D150" s="5" t="s">
        <v>1</v>
      </c>
      <c r="E150" s="4" t="s">
        <v>2</v>
      </c>
      <c r="F150" s="6">
        <v>5</v>
      </c>
      <c r="G150" s="3">
        <f>F150+F151+F152+F153</f>
        <v>7</v>
      </c>
    </row>
    <row r="151" spans="1:7" x14ac:dyDescent="0.25">
      <c r="A151" s="5" t="s">
        <v>51</v>
      </c>
      <c r="B151" s="19" t="s">
        <v>101</v>
      </c>
      <c r="C151" s="4" t="s">
        <v>53</v>
      </c>
      <c r="D151" s="5" t="s">
        <v>1</v>
      </c>
      <c r="E151" s="4" t="s">
        <v>3</v>
      </c>
      <c r="F151" s="6">
        <v>1</v>
      </c>
      <c r="G151" s="3"/>
    </row>
    <row r="152" spans="1:7" x14ac:dyDescent="0.25">
      <c r="A152" s="5" t="s">
        <v>51</v>
      </c>
      <c r="B152" s="19" t="s">
        <v>101</v>
      </c>
      <c r="C152" s="4" t="s">
        <v>53</v>
      </c>
      <c r="D152" s="5" t="s">
        <v>1</v>
      </c>
      <c r="E152" s="4" t="s">
        <v>4</v>
      </c>
      <c r="F152" s="6">
        <v>1</v>
      </c>
      <c r="G152" s="3"/>
    </row>
    <row r="153" spans="1:7" x14ac:dyDescent="0.25">
      <c r="A153" s="5" t="s">
        <v>51</v>
      </c>
      <c r="B153" s="20" t="s">
        <v>101</v>
      </c>
      <c r="C153" s="4" t="s">
        <v>53</v>
      </c>
      <c r="D153" s="5" t="s">
        <v>1</v>
      </c>
      <c r="E153" s="4" t="s">
        <v>5</v>
      </c>
      <c r="F153" s="6">
        <v>0</v>
      </c>
      <c r="G153" s="3"/>
    </row>
    <row r="154" spans="1:7" x14ac:dyDescent="0.25">
      <c r="A154" s="21" t="s">
        <v>90</v>
      </c>
      <c r="B154" s="22"/>
      <c r="C154" s="22"/>
      <c r="D154" s="22"/>
      <c r="E154" s="22"/>
      <c r="F154" s="22"/>
      <c r="G154" s="22"/>
    </row>
    <row r="155" spans="1:7" x14ac:dyDescent="0.25">
      <c r="A155" s="5" t="s">
        <v>54</v>
      </c>
      <c r="B155" s="18" t="s">
        <v>101</v>
      </c>
      <c r="C155" s="4" t="s">
        <v>55</v>
      </c>
      <c r="D155" s="5" t="s">
        <v>1</v>
      </c>
      <c r="E155" s="4" t="s">
        <v>2</v>
      </c>
      <c r="F155" s="6">
        <v>3</v>
      </c>
      <c r="G155" s="3">
        <f>F155+F156+F157+F158</f>
        <v>6</v>
      </c>
    </row>
    <row r="156" spans="1:7" x14ac:dyDescent="0.25">
      <c r="A156" s="5" t="s">
        <v>54</v>
      </c>
      <c r="B156" s="19" t="s">
        <v>101</v>
      </c>
      <c r="C156" s="4" t="s">
        <v>55</v>
      </c>
      <c r="D156" s="5" t="s">
        <v>1</v>
      </c>
      <c r="E156" s="4" t="s">
        <v>3</v>
      </c>
      <c r="F156" s="6">
        <v>1</v>
      </c>
      <c r="G156" s="3"/>
    </row>
    <row r="157" spans="1:7" x14ac:dyDescent="0.25">
      <c r="A157" s="5" t="s">
        <v>54</v>
      </c>
      <c r="B157" s="19" t="s">
        <v>101</v>
      </c>
      <c r="C157" s="4" t="s">
        <v>55</v>
      </c>
      <c r="D157" s="5" t="s">
        <v>1</v>
      </c>
      <c r="E157" s="4" t="s">
        <v>4</v>
      </c>
      <c r="F157" s="6">
        <v>1</v>
      </c>
      <c r="G157" s="3"/>
    </row>
    <row r="158" spans="1:7" x14ac:dyDescent="0.25">
      <c r="A158" s="5" t="s">
        <v>54</v>
      </c>
      <c r="B158" s="20" t="s">
        <v>101</v>
      </c>
      <c r="C158" s="4" t="s">
        <v>55</v>
      </c>
      <c r="D158" s="5" t="s">
        <v>1</v>
      </c>
      <c r="E158" s="4" t="s">
        <v>5</v>
      </c>
      <c r="F158" s="6">
        <v>1</v>
      </c>
      <c r="G158" s="3"/>
    </row>
    <row r="159" spans="1:7" x14ac:dyDescent="0.25">
      <c r="A159" s="21" t="s">
        <v>90</v>
      </c>
      <c r="B159" s="22"/>
      <c r="C159" s="22"/>
      <c r="D159" s="22"/>
      <c r="E159" s="22"/>
      <c r="F159" s="22"/>
      <c r="G159" s="22"/>
    </row>
    <row r="160" spans="1:7" x14ac:dyDescent="0.25">
      <c r="A160" s="5" t="s">
        <v>56</v>
      </c>
      <c r="B160" s="18" t="s">
        <v>102</v>
      </c>
      <c r="C160" s="4" t="s">
        <v>57</v>
      </c>
      <c r="D160" s="5" t="s">
        <v>1</v>
      </c>
      <c r="E160" s="4" t="s">
        <v>2</v>
      </c>
      <c r="F160" s="6">
        <v>14</v>
      </c>
      <c r="G160" s="3">
        <f>F160+F161+F162+F163</f>
        <v>23</v>
      </c>
    </row>
    <row r="161" spans="1:7" x14ac:dyDescent="0.25">
      <c r="A161" s="5" t="s">
        <v>56</v>
      </c>
      <c r="B161" s="19" t="s">
        <v>102</v>
      </c>
      <c r="C161" s="4" t="s">
        <v>57</v>
      </c>
      <c r="D161" s="5" t="s">
        <v>1</v>
      </c>
      <c r="E161" s="4" t="s">
        <v>3</v>
      </c>
      <c r="F161" s="6">
        <v>3</v>
      </c>
      <c r="G161" s="3"/>
    </row>
    <row r="162" spans="1:7" x14ac:dyDescent="0.25">
      <c r="A162" s="5" t="s">
        <v>56</v>
      </c>
      <c r="B162" s="19" t="s">
        <v>102</v>
      </c>
      <c r="C162" s="4" t="s">
        <v>57</v>
      </c>
      <c r="D162" s="5" t="s">
        <v>1</v>
      </c>
      <c r="E162" s="4" t="s">
        <v>4</v>
      </c>
      <c r="F162" s="6">
        <v>3</v>
      </c>
      <c r="G162" s="3"/>
    </row>
    <row r="163" spans="1:7" x14ac:dyDescent="0.25">
      <c r="A163" s="5" t="s">
        <v>56</v>
      </c>
      <c r="B163" s="20" t="s">
        <v>102</v>
      </c>
      <c r="C163" s="4" t="s">
        <v>57</v>
      </c>
      <c r="D163" s="5" t="s">
        <v>1</v>
      </c>
      <c r="E163" s="4" t="s">
        <v>5</v>
      </c>
      <c r="F163" s="6">
        <v>3</v>
      </c>
      <c r="G163" s="3"/>
    </row>
    <row r="164" spans="1:7" x14ac:dyDescent="0.25">
      <c r="A164" s="21" t="s">
        <v>90</v>
      </c>
      <c r="B164" s="22"/>
      <c r="C164" s="22"/>
      <c r="D164" s="22"/>
      <c r="E164" s="22"/>
      <c r="F164" s="22"/>
      <c r="G164" s="22"/>
    </row>
    <row r="165" spans="1:7" x14ac:dyDescent="0.25">
      <c r="A165" s="5" t="s">
        <v>56</v>
      </c>
      <c r="B165" s="18" t="s">
        <v>102</v>
      </c>
      <c r="C165" s="4" t="s">
        <v>57</v>
      </c>
      <c r="D165" s="5" t="s">
        <v>58</v>
      </c>
      <c r="E165" s="4" t="s">
        <v>2</v>
      </c>
      <c r="F165" s="6">
        <v>10</v>
      </c>
      <c r="G165" s="3">
        <f>F165+F166+F167+F168</f>
        <v>17</v>
      </c>
    </row>
    <row r="166" spans="1:7" x14ac:dyDescent="0.25">
      <c r="A166" s="5" t="s">
        <v>56</v>
      </c>
      <c r="B166" s="19" t="s">
        <v>102</v>
      </c>
      <c r="C166" s="4" t="s">
        <v>57</v>
      </c>
      <c r="D166" s="5" t="s">
        <v>58</v>
      </c>
      <c r="E166" s="4" t="s">
        <v>3</v>
      </c>
      <c r="F166" s="6">
        <v>2</v>
      </c>
      <c r="G166" s="3"/>
    </row>
    <row r="167" spans="1:7" x14ac:dyDescent="0.25">
      <c r="A167" s="5" t="s">
        <v>56</v>
      </c>
      <c r="B167" s="19" t="s">
        <v>102</v>
      </c>
      <c r="C167" s="4" t="s">
        <v>57</v>
      </c>
      <c r="D167" s="5" t="s">
        <v>58</v>
      </c>
      <c r="E167" s="4" t="s">
        <v>4</v>
      </c>
      <c r="F167" s="6">
        <v>2</v>
      </c>
      <c r="G167" s="3"/>
    </row>
    <row r="168" spans="1:7" x14ac:dyDescent="0.25">
      <c r="A168" s="5" t="s">
        <v>56</v>
      </c>
      <c r="B168" s="20" t="s">
        <v>102</v>
      </c>
      <c r="C168" s="4" t="s">
        <v>57</v>
      </c>
      <c r="D168" s="5" t="s">
        <v>58</v>
      </c>
      <c r="E168" s="4" t="s">
        <v>5</v>
      </c>
      <c r="F168" s="6">
        <v>3</v>
      </c>
      <c r="G168" s="3"/>
    </row>
    <row r="169" spans="1:7" x14ac:dyDescent="0.25">
      <c r="A169" s="21" t="s">
        <v>90</v>
      </c>
      <c r="B169" s="22"/>
      <c r="C169" s="22"/>
      <c r="D169" s="22"/>
      <c r="E169" s="22"/>
      <c r="F169" s="22"/>
      <c r="G169" s="22"/>
    </row>
    <row r="170" spans="1:7" x14ac:dyDescent="0.25">
      <c r="A170" s="36"/>
      <c r="B170" s="39"/>
    </row>
    <row r="171" spans="1:7" x14ac:dyDescent="0.25">
      <c r="A171" s="35"/>
      <c r="B171" s="38"/>
    </row>
    <row r="172" spans="1:7" x14ac:dyDescent="0.25">
      <c r="A172" s="35"/>
      <c r="B172" s="38"/>
    </row>
    <row r="173" spans="1:7" x14ac:dyDescent="0.25">
      <c r="A173" s="35"/>
      <c r="B173" s="38"/>
    </row>
    <row r="174" spans="1:7" x14ac:dyDescent="0.25">
      <c r="A174" s="35"/>
      <c r="B174" s="33"/>
    </row>
    <row r="175" spans="1:7" x14ac:dyDescent="0.25">
      <c r="B175" s="33"/>
    </row>
    <row r="176" spans="1:7" x14ac:dyDescent="0.25">
      <c r="B176" s="33"/>
    </row>
    <row r="177" spans="2:3" x14ac:dyDescent="0.25">
      <c r="B177" s="34"/>
      <c r="C177" s="37"/>
    </row>
    <row r="178" spans="2:3" x14ac:dyDescent="0.25">
      <c r="B178" s="34"/>
    </row>
    <row r="179" spans="2:3" x14ac:dyDescent="0.25">
      <c r="B179" s="34"/>
    </row>
  </sheetData>
  <autoFilter ref="A1:R169" xr:uid="{A5901DB8-897A-494C-AAEB-04606290CEE3}">
    <filterColumn colId="7" showButton="0"/>
    <filterColumn colId="8" showButton="0"/>
    <filterColumn colId="9" showButton="0"/>
    <filterColumn colId="10" showButton="0"/>
  </autoFilter>
  <mergeCells count="43">
    <mergeCell ref="H1:L1"/>
    <mergeCell ref="A16:G16"/>
    <mergeCell ref="I7:Q7"/>
    <mergeCell ref="I10:P10"/>
    <mergeCell ref="I5:K5"/>
    <mergeCell ref="I3:K3"/>
    <mergeCell ref="I8:Q8"/>
    <mergeCell ref="I9:Q9"/>
    <mergeCell ref="I12:Q12"/>
    <mergeCell ref="I13:Q13"/>
    <mergeCell ref="I15:Q15"/>
    <mergeCell ref="A6:G6"/>
    <mergeCell ref="A11:G11"/>
    <mergeCell ref="A21:G21"/>
    <mergeCell ref="A26:G26"/>
    <mergeCell ref="A31:G31"/>
    <mergeCell ref="A36:G36"/>
    <mergeCell ref="A41:G41"/>
    <mergeCell ref="A104:G104"/>
    <mergeCell ref="A109:G109"/>
    <mergeCell ref="A46:G46"/>
    <mergeCell ref="A51:G51"/>
    <mergeCell ref="A56:G56"/>
    <mergeCell ref="A61:G61"/>
    <mergeCell ref="A66:G66"/>
    <mergeCell ref="A71:G71"/>
    <mergeCell ref="A77:G77"/>
    <mergeCell ref="A84:G84"/>
    <mergeCell ref="A89:G89"/>
    <mergeCell ref="A94:G94"/>
    <mergeCell ref="A99:G99"/>
    <mergeCell ref="A114:G114"/>
    <mergeCell ref="A119:G119"/>
    <mergeCell ref="A124:G124"/>
    <mergeCell ref="A129:G129"/>
    <mergeCell ref="A169:G169"/>
    <mergeCell ref="A139:G139"/>
    <mergeCell ref="A144:G144"/>
    <mergeCell ref="A149:G149"/>
    <mergeCell ref="A154:G154"/>
    <mergeCell ref="A159:G159"/>
    <mergeCell ref="A164:G164"/>
    <mergeCell ref="A134:G1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A9F2-7B45-49B6-8563-462D1F3481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Бакалавры</vt:lpstr>
      <vt:lpstr>Магистры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Lvov</dc:creator>
  <cp:lastModifiedBy>Simon Lvov</cp:lastModifiedBy>
  <dcterms:created xsi:type="dcterms:W3CDTF">2025-10-13T14:10:32Z</dcterms:created>
  <dcterms:modified xsi:type="dcterms:W3CDTF">2025-12-27T15:05:38Z</dcterms:modified>
</cp:coreProperties>
</file>